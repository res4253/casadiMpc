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wa/miwa/code/nMPC/diabetesApp/database/"/>
    </mc:Choice>
  </mc:AlternateContent>
  <xr:revisionPtr revIDLastSave="0" documentId="13_ncr:1_{C14B7ECA-351C-5C45-9D4A-E14AADC70EE8}" xr6:coauthVersionLast="47" xr6:coauthVersionMax="47" xr10:uidLastSave="{00000000-0000-0000-0000-000000000000}"/>
  <bookViews>
    <workbookView xWindow="40520" yWindow="0" windowWidth="32040" windowHeight="21100" xr2:uid="{14BB3198-CD0D-4949-9223-B9ADDE6687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4" i="1"/>
  <c r="G45" i="1"/>
  <c r="G46" i="1"/>
  <c r="G47" i="1"/>
  <c r="G48" i="1"/>
  <c r="G49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4" i="1"/>
  <c r="F45" i="1"/>
  <c r="F46" i="1"/>
  <c r="F47" i="1"/>
  <c r="F48" i="1"/>
  <c r="F49" i="1"/>
  <c r="G2" i="1"/>
  <c r="F2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2" i="2"/>
  <c r="AO5" i="1"/>
  <c r="AO6" i="1"/>
  <c r="AO7" i="1"/>
  <c r="AO8" i="1"/>
  <c r="AO9" i="1"/>
  <c r="AO10" i="1"/>
  <c r="AO11" i="1"/>
  <c r="AO12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3" i="1"/>
</calcChain>
</file>

<file path=xl/sharedStrings.xml><?xml version="1.0" encoding="utf-8"?>
<sst xmlns="http://schemas.openxmlformats.org/spreadsheetml/2006/main" count="268" uniqueCount="126">
  <si>
    <t>Parameter</t>
    <phoneticPr fontId="1"/>
  </si>
  <si>
    <t>age</t>
    <phoneticPr fontId="1"/>
  </si>
  <si>
    <t>TDI</t>
    <phoneticPr fontId="1"/>
  </si>
  <si>
    <t>CHOr</t>
    <phoneticPr fontId="1"/>
  </si>
  <si>
    <t>MGD</t>
    <phoneticPr fontId="1"/>
  </si>
  <si>
    <t>k_abs</t>
    <phoneticPr fontId="1"/>
  </si>
  <si>
    <t>k_max</t>
    <phoneticPr fontId="1"/>
  </si>
  <si>
    <t>k_min</t>
    <phoneticPr fontId="1"/>
  </si>
  <si>
    <t>b</t>
    <phoneticPr fontId="1"/>
  </si>
  <si>
    <t>d</t>
    <phoneticPr fontId="1"/>
  </si>
  <si>
    <t>k_i</t>
    <phoneticPr fontId="1"/>
  </si>
  <si>
    <t>k_p2</t>
    <phoneticPr fontId="1"/>
  </si>
  <si>
    <t>k_p3</t>
    <phoneticPr fontId="1"/>
  </si>
  <si>
    <t>V_G</t>
    <phoneticPr fontId="1"/>
  </si>
  <si>
    <t>V_mx</t>
    <phoneticPr fontId="1"/>
  </si>
  <si>
    <t>K_m0</t>
    <phoneticPr fontId="1"/>
  </si>
  <si>
    <t>k_2</t>
    <phoneticPr fontId="1"/>
  </si>
  <si>
    <t>k_1</t>
    <phoneticPr fontId="1"/>
  </si>
  <si>
    <t>p_2U</t>
    <phoneticPr fontId="1"/>
  </si>
  <si>
    <t>V_I</t>
    <phoneticPr fontId="1"/>
  </si>
  <si>
    <t>m_1</t>
    <phoneticPr fontId="1"/>
  </si>
  <si>
    <t>m_5</t>
    <phoneticPr fontId="1"/>
  </si>
  <si>
    <t>G_b</t>
    <phoneticPr fontId="1"/>
  </si>
  <si>
    <t>EGP_b</t>
    <phoneticPr fontId="1"/>
  </si>
  <si>
    <t>BW</t>
    <phoneticPr fontId="1"/>
  </si>
  <si>
    <t>I_b</t>
    <phoneticPr fontId="1"/>
  </si>
  <si>
    <t>CL</t>
    <phoneticPr fontId="1"/>
  </si>
  <si>
    <t>k_d</t>
    <phoneticPr fontId="1"/>
  </si>
  <si>
    <t>k_a1</t>
    <phoneticPr fontId="1"/>
  </si>
  <si>
    <t>k_a2</t>
    <phoneticPr fontId="1"/>
  </si>
  <si>
    <t>s51</t>
    <phoneticPr fontId="1"/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</si>
  <si>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</si>
  <si>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</si>
  <si>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</si>
  <si>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</si>
  <si>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</si>
  <si>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</si>
  <si>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</si>
  <si>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</si>
  <si>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</si>
  <si>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s31</t>
    <phoneticPr fontId="1"/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</si>
  <si>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</si>
  <si>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</si>
  <si>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</si>
  <si>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</si>
  <si>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</si>
  <si>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</si>
  <si>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</si>
  <si>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</si>
  <si>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</si>
  <si>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s11</t>
    <phoneticPr fontId="1"/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</si>
  <si>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</si>
  <si>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</si>
  <si>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</si>
  <si>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</si>
  <si>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</si>
  <si>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</si>
  <si>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</si>
  <si>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</si>
  <si>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</si>
  <si>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m_2</t>
    <phoneticPr fontId="1"/>
  </si>
  <si>
    <t xml:space="preserve">m_4 </t>
    <phoneticPr fontId="1"/>
  </si>
  <si>
    <t>k_gri</t>
    <phoneticPr fontId="1"/>
  </si>
  <si>
    <t>f</t>
    <phoneticPr fontId="1"/>
  </si>
  <si>
    <t>k_p4</t>
    <phoneticPr fontId="1"/>
  </si>
  <si>
    <t>F_cns</t>
    <phoneticPr fontId="1"/>
  </si>
  <si>
    <t>k_e1</t>
    <phoneticPr fontId="1"/>
  </si>
  <si>
    <t>k_e2</t>
    <phoneticPr fontId="1"/>
  </si>
  <si>
    <t>HE_b</t>
    <phoneticPr fontId="1"/>
  </si>
  <si>
    <t>m_f1</t>
    <phoneticPr fontId="1"/>
  </si>
  <si>
    <t>m_f2</t>
    <phoneticPr fontId="1"/>
  </si>
  <si>
    <t>magni2007, equation(17)</t>
    <phoneticPr fontId="1"/>
  </si>
  <si>
    <t>K_mx</t>
    <phoneticPr fontId="1"/>
  </si>
  <si>
    <t>Insulin Unit</t>
    <phoneticPr fontId="1"/>
  </si>
  <si>
    <t>U</t>
    <phoneticPr fontId="1"/>
  </si>
  <si>
    <t>magni2007, normal</t>
    <phoneticPr fontId="1"/>
  </si>
  <si>
    <t>note</t>
    <phoneticPr fontId="1"/>
  </si>
  <si>
    <t>stomach</t>
    <phoneticPr fontId="1"/>
  </si>
  <si>
    <t>insdelay</t>
    <phoneticPr fontId="1"/>
  </si>
  <si>
    <t>EGP</t>
    <phoneticPr fontId="1"/>
  </si>
  <si>
    <t>distribution volume</t>
    <phoneticPr fontId="1"/>
  </si>
  <si>
    <t>Uid</t>
    <phoneticPr fontId="1"/>
  </si>
  <si>
    <t>glucose transit</t>
    <phoneticPr fontId="1"/>
  </si>
  <si>
    <t>insulin actions</t>
    <phoneticPr fontId="1"/>
  </si>
  <si>
    <t>Insulin transit</t>
    <phoneticPr fontId="1"/>
  </si>
  <si>
    <t>glucose basal</t>
    <phoneticPr fontId="1"/>
  </si>
  <si>
    <t>EGP basal</t>
    <phoneticPr fontId="1"/>
  </si>
  <si>
    <t>body weight</t>
    <phoneticPr fontId="1"/>
  </si>
  <si>
    <t>insulin basal</t>
    <phoneticPr fontId="1"/>
  </si>
  <si>
    <t>insulin clearance</t>
    <phoneticPr fontId="1"/>
  </si>
  <si>
    <t>Insulin injection</t>
    <phoneticPr fontId="1"/>
  </si>
  <si>
    <t>k_sc</t>
    <phoneticPr fontId="1"/>
  </si>
  <si>
    <t>Insulin sensor</t>
    <phoneticPr fontId="1"/>
  </si>
  <si>
    <t>consume brain glucose</t>
    <phoneticPr fontId="1"/>
  </si>
  <si>
    <t>Urain</t>
    <phoneticPr fontId="1"/>
  </si>
  <si>
    <t>Maximal glucose decrease</t>
    <phoneticPr fontId="1"/>
  </si>
  <si>
    <t>makeerror</t>
    <phoneticPr fontId="1"/>
  </si>
  <si>
    <t>s51001</t>
    <phoneticPr fontId="1"/>
  </si>
  <si>
    <t>error</t>
    <phoneticPr fontId="1"/>
  </si>
  <si>
    <t>s51005</t>
    <phoneticPr fontId="1"/>
  </si>
  <si>
    <t>s51010</t>
    <phoneticPr fontId="1"/>
  </si>
  <si>
    <t>k_ew1</t>
    <phoneticPr fontId="1"/>
  </si>
  <si>
    <t>k_ew2</t>
    <phoneticPr fontId="1"/>
  </si>
  <si>
    <t>k_ew3</t>
    <phoneticPr fontId="1"/>
  </si>
  <si>
    <t>m_6</t>
    <phoneticPr fontId="1"/>
  </si>
  <si>
    <t>insulin hepatic resolution</t>
    <phoneticPr fontId="1"/>
  </si>
  <si>
    <t>k_p1</t>
    <phoneticPr fontId="1"/>
  </si>
  <si>
    <t>V_m0</t>
    <phoneticPr fontId="1"/>
  </si>
  <si>
    <t>insulin secretion</t>
    <phoneticPr fontId="1"/>
  </si>
  <si>
    <t>S_b</t>
    <phoneticPr fontId="1"/>
  </si>
  <si>
    <t>K</t>
    <phoneticPr fontId="1"/>
  </si>
  <si>
    <t>alpha</t>
    <phoneticPr fontId="1"/>
  </si>
  <si>
    <t>beta</t>
    <phoneticPr fontId="1"/>
  </si>
  <si>
    <t>gamma</t>
    <phoneticPr fontId="1"/>
  </si>
  <si>
    <t>h</t>
    <phoneticPr fontId="1"/>
  </si>
  <si>
    <t>insulin secretion I_b を決め, そこから求めた</t>
    <rPh sb="31" eb="32">
      <t xml:space="preserve">モトメタ </t>
    </rPh>
    <phoneticPr fontId="1"/>
  </si>
  <si>
    <t>I_pob</t>
    <phoneticPr fontId="1"/>
  </si>
  <si>
    <t>s0</t>
    <phoneticPr fontId="1"/>
  </si>
  <si>
    <t>s1051</t>
    <phoneticPr fontId="1"/>
  </si>
  <si>
    <t>k</t>
    <phoneticPr fontId="1"/>
  </si>
  <si>
    <t>approximate optimized k</t>
    <phoneticPr fontId="1"/>
  </si>
  <si>
    <t>s2051</t>
    <phoneticPr fontId="1"/>
  </si>
  <si>
    <t>s9001</t>
    <phoneticPr fontId="1"/>
  </si>
  <si>
    <t>s9002</t>
    <phoneticPr fontId="1"/>
  </si>
  <si>
    <t>CHOr modify</t>
    <phoneticPr fontId="1"/>
  </si>
  <si>
    <t>CHOr_modify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</si>
</sst>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F591-9481-C747-AC25-13E8D09F1249}">
  <dimension ref="A1:AO61"/>
  <sheetViews>
    <sheetView tabSelected="1" topLeftCell="A24" zoomScaleNormal="125" workbookViewId="0">
      <pane xSplit="2" topLeftCell="C1" activePane="topRight" state="frozen"/>
      <selection activeCell="A14" sqref="A14"/>
      <selection pane="topRight" activeCell="Q53" sqref="Q53"/>
    </sheetView>
  </sheetViews>
  <sheetFormatPr baseColWidth="10" defaultColWidth="7.42578125" defaultRowHeight="20"/>
  <cols>
    <col min="1" max="1" width="30.42578125" customWidth="1"/>
    <col min="2" max="2" width="15" style="1" customWidth="1"/>
    <col min="3" max="3" width="8.85546875" customWidth="1"/>
    <col min="4" max="7" width="9.7109375" customWidth="1"/>
    <col min="8" max="8" width="12.85546875" customWidth="1"/>
    <col min="9" max="9" width="14.28515625" customWidth="1"/>
    <col min="10" max="10" width="16.28515625" customWidth="1"/>
    <col min="11" max="11" width="11.28515625" customWidth="1"/>
    <col min="12" max="12" width="11.42578125" customWidth="1"/>
    <col min="13" max="13" width="6.28515625" customWidth="1"/>
    <col min="14" max="14" width="10.42578125" customWidth="1"/>
    <col min="15" max="16" width="12" customWidth="1"/>
    <col min="17" max="17" width="11.5703125" customWidth="1"/>
    <col min="18" max="25" width="6.28515625" customWidth="1"/>
    <col min="26" max="32" width="7.42578125" customWidth="1"/>
    <col min="33" max="33" width="8.140625" customWidth="1"/>
    <col min="34" max="37" width="7.42578125" customWidth="1"/>
  </cols>
  <sheetData>
    <row r="1" spans="1:41">
      <c r="A1" t="s">
        <v>76</v>
      </c>
      <c r="B1" s="1" t="s">
        <v>0</v>
      </c>
      <c r="C1" t="s">
        <v>117</v>
      </c>
      <c r="D1" t="s">
        <v>118</v>
      </c>
      <c r="E1" t="s">
        <v>121</v>
      </c>
      <c r="F1" t="s">
        <v>122</v>
      </c>
      <c r="G1" t="s">
        <v>123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97</v>
      </c>
      <c r="AM1" t="s">
        <v>99</v>
      </c>
      <c r="AN1" t="s">
        <v>100</v>
      </c>
      <c r="AO1" t="s">
        <v>96</v>
      </c>
    </row>
    <row r="2" spans="1:41">
      <c r="B2" s="1" t="s">
        <v>1</v>
      </c>
      <c r="F2">
        <f>MAX(H2:Q2)</f>
        <v>77</v>
      </c>
      <c r="G2">
        <f>MIN(H2:Q2)</f>
        <v>23</v>
      </c>
      <c r="H2">
        <v>24</v>
      </c>
      <c r="I2">
        <v>27</v>
      </c>
      <c r="J2">
        <v>70</v>
      </c>
      <c r="K2">
        <v>62</v>
      </c>
      <c r="L2">
        <v>40</v>
      </c>
      <c r="M2">
        <v>77</v>
      </c>
      <c r="N2">
        <v>23</v>
      </c>
      <c r="O2">
        <v>47</v>
      </c>
      <c r="P2">
        <v>44</v>
      </c>
      <c r="Q2">
        <v>66</v>
      </c>
      <c r="R2">
        <v>16</v>
      </c>
      <c r="S2">
        <v>15</v>
      </c>
      <c r="T2">
        <v>13</v>
      </c>
      <c r="U2">
        <v>16</v>
      </c>
      <c r="V2">
        <v>12</v>
      </c>
      <c r="W2">
        <v>16</v>
      </c>
      <c r="X2">
        <v>15</v>
      </c>
      <c r="Y2">
        <v>12</v>
      </c>
      <c r="Z2">
        <v>12</v>
      </c>
      <c r="AA2">
        <v>15</v>
      </c>
      <c r="AB2">
        <v>11</v>
      </c>
      <c r="AC2">
        <v>7</v>
      </c>
      <c r="AD2">
        <v>10</v>
      </c>
      <c r="AE2">
        <v>10</v>
      </c>
      <c r="AF2">
        <v>7</v>
      </c>
      <c r="AG2">
        <v>7</v>
      </c>
      <c r="AH2">
        <v>9</v>
      </c>
      <c r="AI2">
        <v>7</v>
      </c>
      <c r="AJ2">
        <v>10</v>
      </c>
      <c r="AK2">
        <v>11</v>
      </c>
      <c r="AL2">
        <v>24</v>
      </c>
      <c r="AM2">
        <v>24</v>
      </c>
      <c r="AN2">
        <v>24</v>
      </c>
      <c r="AO2">
        <v>24</v>
      </c>
    </row>
    <row r="3" spans="1:41">
      <c r="B3" s="1" t="s">
        <v>2</v>
      </c>
      <c r="F3">
        <f t="shared" ref="F3:F49" si="0">MAX(H3:Q3)</f>
        <v>61.4</v>
      </c>
      <c r="G3">
        <f t="shared" ref="G3:G49" si="1">MIN(H3:Q3)</f>
        <v>27.5</v>
      </c>
      <c r="H3">
        <v>38.9</v>
      </c>
      <c r="I3">
        <v>34.299999999999997</v>
      </c>
      <c r="J3">
        <v>61.4</v>
      </c>
      <c r="K3">
        <v>28.7</v>
      </c>
      <c r="L3">
        <v>40.6</v>
      </c>
      <c r="M3">
        <v>43</v>
      </c>
      <c r="N3">
        <v>27.5</v>
      </c>
      <c r="O3">
        <v>33.5</v>
      </c>
      <c r="P3">
        <v>52.1</v>
      </c>
      <c r="Q3">
        <v>41.2</v>
      </c>
      <c r="R3">
        <v>51.6</v>
      </c>
      <c r="S3">
        <v>59.5</v>
      </c>
      <c r="T3">
        <v>37.299999999999997</v>
      </c>
      <c r="U3">
        <v>38.799999999999997</v>
      </c>
      <c r="V3">
        <v>37.299999999999997</v>
      </c>
      <c r="W3">
        <v>50.8</v>
      </c>
      <c r="X3">
        <v>63.3</v>
      </c>
      <c r="Y3">
        <v>53.2</v>
      </c>
      <c r="Z3">
        <v>57.2</v>
      </c>
      <c r="AA3">
        <v>70.7</v>
      </c>
      <c r="AB3">
        <v>26</v>
      </c>
      <c r="AC3">
        <v>21.9</v>
      </c>
      <c r="AD3">
        <v>16.600000000000001</v>
      </c>
      <c r="AE3">
        <v>46.8</v>
      </c>
      <c r="AF3">
        <v>18.7</v>
      </c>
      <c r="AG3">
        <v>45.3</v>
      </c>
      <c r="AH3">
        <v>48.4</v>
      </c>
      <c r="AI3">
        <v>32.299999999999997</v>
      </c>
      <c r="AJ3">
        <v>59.8</v>
      </c>
      <c r="AK3">
        <v>45.8</v>
      </c>
      <c r="AL3">
        <v>38.706496680250083</v>
      </c>
      <c r="AM3">
        <v>37.400674323710675</v>
      </c>
      <c r="AN3">
        <v>39.222555234263396</v>
      </c>
      <c r="AO3">
        <f t="shared" ref="AO3:AO49" ca="1" si="2">NORMINV(RAND(),1,$AO$59)*H3</f>
        <v>44.678037213256438</v>
      </c>
    </row>
    <row r="4" spans="1:41">
      <c r="A4" t="s">
        <v>124</v>
      </c>
      <c r="B4" s="1" t="s">
        <v>125</v>
      </c>
      <c r="H4">
        <v>11.6</v>
      </c>
      <c r="I4">
        <v>25</v>
      </c>
      <c r="J4">
        <v>7.3</v>
      </c>
      <c r="K4">
        <v>35</v>
      </c>
      <c r="L4">
        <v>11.1</v>
      </c>
      <c r="M4">
        <v>20</v>
      </c>
      <c r="N4">
        <v>16.399999999999999</v>
      </c>
      <c r="O4">
        <v>35</v>
      </c>
      <c r="P4">
        <v>8.6</v>
      </c>
      <c r="Q4">
        <v>10.9</v>
      </c>
    </row>
    <row r="5" spans="1:41">
      <c r="B5" s="1" t="s">
        <v>3</v>
      </c>
      <c r="F5">
        <f t="shared" si="0"/>
        <v>16.399999999999999</v>
      </c>
      <c r="G5">
        <f t="shared" si="1"/>
        <v>7.3</v>
      </c>
      <c r="H5">
        <v>11.6</v>
      </c>
      <c r="I5">
        <v>13.1</v>
      </c>
      <c r="J5">
        <v>7.3</v>
      </c>
      <c r="K5">
        <v>15.7</v>
      </c>
      <c r="L5">
        <v>11.1</v>
      </c>
      <c r="M5">
        <v>10.5</v>
      </c>
      <c r="N5">
        <v>16.399999999999999</v>
      </c>
      <c r="O5">
        <v>13.4</v>
      </c>
      <c r="P5">
        <v>8.6</v>
      </c>
      <c r="Q5">
        <v>10.9</v>
      </c>
      <c r="R5">
        <v>8.6999999999999993</v>
      </c>
      <c r="S5">
        <v>7.6</v>
      </c>
      <c r="T5">
        <v>12.1</v>
      </c>
      <c r="U5">
        <v>11.6</v>
      </c>
      <c r="V5">
        <v>12.1</v>
      </c>
      <c r="W5">
        <v>8.9</v>
      </c>
      <c r="X5">
        <v>7.1</v>
      </c>
      <c r="Y5">
        <v>8.5</v>
      </c>
      <c r="Z5">
        <v>7.9</v>
      </c>
      <c r="AA5">
        <v>6.4</v>
      </c>
      <c r="AB5">
        <v>17.3</v>
      </c>
      <c r="AC5">
        <v>20.5</v>
      </c>
      <c r="AD5">
        <v>27</v>
      </c>
      <c r="AE5">
        <v>9.6</v>
      </c>
      <c r="AF5">
        <v>24.1</v>
      </c>
      <c r="AG5">
        <v>9.9</v>
      </c>
      <c r="AH5">
        <v>9.3000000000000007</v>
      </c>
      <c r="AI5">
        <v>13.9</v>
      </c>
      <c r="AJ5">
        <v>7.5</v>
      </c>
      <c r="AK5">
        <v>9.8000000000000007</v>
      </c>
      <c r="AL5">
        <v>11.699991565513207</v>
      </c>
      <c r="AM5">
        <v>10.988747369454135</v>
      </c>
      <c r="AN5">
        <v>13.367276981649333</v>
      </c>
      <c r="AO5">
        <f t="shared" ca="1" si="2"/>
        <v>11.11537210978204</v>
      </c>
    </row>
    <row r="6" spans="1:41">
      <c r="A6" t="s">
        <v>95</v>
      </c>
      <c r="B6" s="1" t="s">
        <v>4</v>
      </c>
      <c r="F6">
        <f t="shared" si="0"/>
        <v>59.9</v>
      </c>
      <c r="G6">
        <f t="shared" si="1"/>
        <v>3</v>
      </c>
      <c r="H6">
        <v>13.2</v>
      </c>
      <c r="I6">
        <v>31</v>
      </c>
      <c r="J6">
        <v>3</v>
      </c>
      <c r="K6">
        <v>59.9</v>
      </c>
      <c r="L6">
        <v>15.1</v>
      </c>
      <c r="M6">
        <v>19</v>
      </c>
      <c r="N6">
        <v>22</v>
      </c>
      <c r="O6">
        <v>37.4</v>
      </c>
      <c r="P6">
        <v>17.600000000000001</v>
      </c>
      <c r="Q6">
        <v>17</v>
      </c>
      <c r="R6">
        <v>10.5</v>
      </c>
      <c r="S6">
        <v>10.5</v>
      </c>
      <c r="T6">
        <v>23.8</v>
      </c>
      <c r="U6">
        <v>9.8000000000000007</v>
      </c>
      <c r="V6">
        <v>21.4</v>
      </c>
      <c r="W6">
        <v>8</v>
      </c>
      <c r="X6">
        <v>7.8</v>
      </c>
      <c r="Y6">
        <v>5.6</v>
      </c>
      <c r="Z6">
        <v>5.7</v>
      </c>
      <c r="AA6">
        <v>5.7</v>
      </c>
      <c r="AB6">
        <v>32.9</v>
      </c>
      <c r="AC6">
        <v>73.8</v>
      </c>
      <c r="AD6">
        <v>45.2</v>
      </c>
      <c r="AE6">
        <v>20.399999999999999</v>
      </c>
      <c r="AF6">
        <v>74.400000000000006</v>
      </c>
      <c r="AG6">
        <v>13.8</v>
      </c>
      <c r="AH6">
        <v>42.8</v>
      </c>
      <c r="AI6">
        <v>58.9</v>
      </c>
      <c r="AJ6">
        <v>13.9</v>
      </c>
      <c r="AK6">
        <v>30.2</v>
      </c>
      <c r="AL6">
        <v>13.340092634421611</v>
      </c>
      <c r="AM6">
        <v>12.682624428536643</v>
      </c>
      <c r="AN6">
        <v>13.774251113471932</v>
      </c>
      <c r="AO6">
        <f t="shared" ca="1" si="2"/>
        <v>13.642784958658273</v>
      </c>
    </row>
    <row r="7" spans="1:41">
      <c r="A7" t="s">
        <v>77</v>
      </c>
      <c r="B7" s="1" t="s">
        <v>5</v>
      </c>
      <c r="C7">
        <v>5.7000000000000002E-2</v>
      </c>
      <c r="D7">
        <v>5.7000000000000002E-2</v>
      </c>
      <c r="E7">
        <v>5.7000000000000002E-2</v>
      </c>
      <c r="F7">
        <f t="shared" si="0"/>
        <v>0.98299999999999998</v>
      </c>
      <c r="G7">
        <f t="shared" si="1"/>
        <v>2.5999999999999999E-2</v>
      </c>
      <c r="H7">
        <v>0.111</v>
      </c>
      <c r="I7">
        <v>0.19500000000000001</v>
      </c>
      <c r="J7">
        <v>0.51</v>
      </c>
      <c r="K7">
        <v>0.75900000000000001</v>
      </c>
      <c r="L7">
        <v>3.5999999999999997E-2</v>
      </c>
      <c r="M7">
        <v>0.154</v>
      </c>
      <c r="N7">
        <v>2.5999999999999999E-2</v>
      </c>
      <c r="O7">
        <v>0.92800000000000005</v>
      </c>
      <c r="P7">
        <v>9.7000000000000003E-2</v>
      </c>
      <c r="Q7">
        <v>0.98299999999999998</v>
      </c>
      <c r="R7">
        <v>0.10100000000000001</v>
      </c>
      <c r="S7">
        <v>0.14000000000000001</v>
      </c>
      <c r="T7">
        <v>0.20899999999999999</v>
      </c>
      <c r="U7">
        <v>0.19400000000000001</v>
      </c>
      <c r="V7">
        <v>0.23499999999999999</v>
      </c>
      <c r="W7">
        <v>2.1000000000000001E-2</v>
      </c>
      <c r="X7">
        <v>1.5549999999999999</v>
      </c>
      <c r="Y7">
        <v>7.9000000000000001E-2</v>
      </c>
      <c r="Z7">
        <v>1.73</v>
      </c>
      <c r="AA7">
        <v>0.14199999999999999</v>
      </c>
      <c r="AB7">
        <v>0.79400000000000004</v>
      </c>
      <c r="AC7">
        <v>0.45500000000000002</v>
      </c>
      <c r="AD7">
        <v>0.126</v>
      </c>
      <c r="AE7">
        <v>0.628</v>
      </c>
      <c r="AF7">
        <v>0.432</v>
      </c>
      <c r="AG7">
        <v>0.248</v>
      </c>
      <c r="AH7">
        <v>2.9000000000000001E-2</v>
      </c>
      <c r="AI7">
        <v>5.0999999999999997E-2</v>
      </c>
      <c r="AJ7">
        <v>2.8000000000000001E-2</v>
      </c>
      <c r="AK7">
        <v>2.5999999999999999E-2</v>
      </c>
      <c r="AL7">
        <v>0.10977932077981453</v>
      </c>
      <c r="AM7">
        <v>0.10235442321176022</v>
      </c>
      <c r="AN7">
        <v>0.10234543819640449</v>
      </c>
      <c r="AO7">
        <f t="shared" ca="1" si="2"/>
        <v>0.12139178222219607</v>
      </c>
    </row>
    <row r="8" spans="1:41">
      <c r="A8" t="s">
        <v>77</v>
      </c>
      <c r="B8" s="1" t="s">
        <v>6</v>
      </c>
      <c r="C8">
        <v>5.5800000000000002E-2</v>
      </c>
      <c r="D8">
        <v>5.5800000000000002E-2</v>
      </c>
      <c r="E8">
        <v>5.5800000000000002E-2</v>
      </c>
      <c r="F8">
        <f t="shared" si="0"/>
        <v>6.5000000000000002E-2</v>
      </c>
      <c r="G8">
        <f t="shared" si="1"/>
        <v>1.9E-2</v>
      </c>
      <c r="H8">
        <v>3.1E-2</v>
      </c>
      <c r="I8">
        <v>2.8000000000000001E-2</v>
      </c>
      <c r="J8">
        <v>2.3E-2</v>
      </c>
      <c r="K8">
        <v>2.5000000000000001E-2</v>
      </c>
      <c r="L8">
        <v>5.0999999999999997E-2</v>
      </c>
      <c r="M8">
        <v>2.7E-2</v>
      </c>
      <c r="N8">
        <v>6.5000000000000002E-2</v>
      </c>
      <c r="O8">
        <v>1.9E-2</v>
      </c>
      <c r="P8">
        <v>3.1E-2</v>
      </c>
      <c r="Q8">
        <v>1.9E-2</v>
      </c>
      <c r="R8">
        <v>0.05</v>
      </c>
      <c r="S8">
        <v>0.04</v>
      </c>
      <c r="T8">
        <v>4.2000000000000003E-2</v>
      </c>
      <c r="U8">
        <v>2.8000000000000001E-2</v>
      </c>
      <c r="V8">
        <v>3.5999999999999997E-2</v>
      </c>
      <c r="W8">
        <v>9.1999999999999998E-2</v>
      </c>
      <c r="X8">
        <v>2.1999999999999999E-2</v>
      </c>
      <c r="Y8">
        <v>3.6999999999999998E-2</v>
      </c>
      <c r="Z8">
        <v>1.6E-2</v>
      </c>
      <c r="AA8">
        <v>4.7E-2</v>
      </c>
      <c r="AB8">
        <v>2.7E-2</v>
      </c>
      <c r="AC8">
        <v>3.9E-2</v>
      </c>
      <c r="AD8">
        <v>0.04</v>
      </c>
      <c r="AE8">
        <v>1.7999999999999999E-2</v>
      </c>
      <c r="AF8">
        <v>4.4999999999999998E-2</v>
      </c>
      <c r="AG8">
        <v>4.8000000000000001E-2</v>
      </c>
      <c r="AH8">
        <v>9.2999999999999999E-2</v>
      </c>
      <c r="AI8">
        <v>3.7999999999999999E-2</v>
      </c>
      <c r="AJ8">
        <v>6.4000000000000001E-2</v>
      </c>
      <c r="AK8">
        <v>6.7000000000000004E-2</v>
      </c>
      <c r="AL8">
        <v>3.0775147766663714E-2</v>
      </c>
      <c r="AM8">
        <v>2.80724617516677E-2</v>
      </c>
      <c r="AN8">
        <v>3.1034757624596124E-2</v>
      </c>
      <c r="AO8">
        <f t="shared" ca="1" si="2"/>
        <v>3.7246534345552341E-2</v>
      </c>
    </row>
    <row r="9" spans="1:41">
      <c r="A9" t="s">
        <v>77</v>
      </c>
      <c r="B9" s="1" t="s">
        <v>7</v>
      </c>
      <c r="C9">
        <v>8.0000000000000002E-3</v>
      </c>
      <c r="D9">
        <v>8.0000000000000002E-3</v>
      </c>
      <c r="E9">
        <v>8.0000000000000002E-3</v>
      </c>
      <c r="F9">
        <f t="shared" si="0"/>
        <v>1.6E-2</v>
      </c>
      <c r="G9">
        <f t="shared" si="1"/>
        <v>6.0000000000000001E-3</v>
      </c>
      <c r="H9">
        <v>6.0000000000000001E-3</v>
      </c>
      <c r="I9">
        <v>8.0000000000000002E-3</v>
      </c>
      <c r="J9">
        <v>1.6E-2</v>
      </c>
      <c r="K9">
        <v>8.9999999999999993E-3</v>
      </c>
      <c r="L9">
        <v>1.0999999999999999E-2</v>
      </c>
      <c r="M9">
        <v>6.0000000000000001E-3</v>
      </c>
      <c r="N9">
        <v>7.0000000000000001E-3</v>
      </c>
      <c r="O9">
        <v>8.9999999999999993E-3</v>
      </c>
      <c r="P9">
        <v>7.0000000000000001E-3</v>
      </c>
      <c r="Q9">
        <v>1.4E-2</v>
      </c>
      <c r="R9">
        <v>8.9999999999999993E-3</v>
      </c>
      <c r="S9">
        <v>8.0000000000000002E-3</v>
      </c>
      <c r="T9">
        <v>1.9E-2</v>
      </c>
      <c r="U9">
        <v>8.9999999999999993E-3</v>
      </c>
      <c r="V9">
        <v>7.0000000000000001E-3</v>
      </c>
      <c r="W9">
        <v>7.0000000000000001E-3</v>
      </c>
      <c r="X9">
        <v>1.4999999999999999E-2</v>
      </c>
      <c r="Y9">
        <v>0.01</v>
      </c>
      <c r="Z9">
        <v>3.0000000000000001E-3</v>
      </c>
      <c r="AA9">
        <v>1.9E-2</v>
      </c>
      <c r="AB9">
        <v>5.0000000000000001E-3</v>
      </c>
      <c r="AC9">
        <v>2.3E-2</v>
      </c>
      <c r="AD9">
        <v>1.0999999999999999E-2</v>
      </c>
      <c r="AE9">
        <v>1.0999999999999999E-2</v>
      </c>
      <c r="AF9">
        <v>0.01</v>
      </c>
      <c r="AG9">
        <v>3.0000000000000001E-3</v>
      </c>
      <c r="AH9">
        <v>1.2999999999999999E-2</v>
      </c>
      <c r="AI9">
        <v>0.01</v>
      </c>
      <c r="AJ9">
        <v>6.0000000000000001E-3</v>
      </c>
      <c r="AK9">
        <v>2E-3</v>
      </c>
      <c r="AL9">
        <v>6.0221463982161492E-3</v>
      </c>
      <c r="AM9">
        <v>6.3146787056101144E-3</v>
      </c>
      <c r="AN9">
        <v>6.4568409862776257E-3</v>
      </c>
      <c r="AO9">
        <f t="shared" ca="1" si="2"/>
        <v>6.2537771616674419E-3</v>
      </c>
    </row>
    <row r="10" spans="1:41">
      <c r="A10" t="s">
        <v>77</v>
      </c>
      <c r="B10" s="1" t="s">
        <v>8</v>
      </c>
      <c r="C10">
        <v>0.82</v>
      </c>
      <c r="D10">
        <v>0.82</v>
      </c>
      <c r="E10">
        <v>0.82</v>
      </c>
      <c r="F10">
        <f t="shared" si="0"/>
        <v>0.94399999999999995</v>
      </c>
      <c r="G10">
        <f t="shared" si="1"/>
        <v>0.622</v>
      </c>
      <c r="H10">
        <v>0.81200000000000006</v>
      </c>
      <c r="I10">
        <v>0.80200000000000005</v>
      </c>
      <c r="J10">
        <v>0.94299999999999995</v>
      </c>
      <c r="K10">
        <v>0.94399999999999995</v>
      </c>
      <c r="L10">
        <v>0.65700000000000003</v>
      </c>
      <c r="M10">
        <v>0.89300000000000002</v>
      </c>
      <c r="N10">
        <v>0.622</v>
      </c>
      <c r="O10">
        <v>0.875</v>
      </c>
      <c r="P10">
        <v>0.85299999999999998</v>
      </c>
      <c r="Q10">
        <v>0.77600000000000002</v>
      </c>
      <c r="R10">
        <v>0.623</v>
      </c>
      <c r="S10">
        <v>0.82399999999999995</v>
      </c>
      <c r="T10">
        <v>0.78600000000000003</v>
      </c>
      <c r="U10">
        <v>0.69799999999999995</v>
      </c>
      <c r="V10">
        <v>0.73899999999999999</v>
      </c>
      <c r="W10">
        <v>0.66400000000000003</v>
      </c>
      <c r="X10">
        <v>1.0109999999999999</v>
      </c>
      <c r="Y10">
        <v>0.61499999999999999</v>
      </c>
      <c r="Z10">
        <v>0.76600000000000001</v>
      </c>
      <c r="AA10">
        <v>0.69899999999999995</v>
      </c>
      <c r="AB10">
        <v>0.77100000000000002</v>
      </c>
      <c r="AC10">
        <v>0.59099999999999997</v>
      </c>
      <c r="AD10">
        <v>0.71</v>
      </c>
      <c r="AE10">
        <v>0.88200000000000001</v>
      </c>
      <c r="AF10">
        <v>0.89900000000000002</v>
      </c>
      <c r="AG10">
        <v>0.69899999999999995</v>
      </c>
      <c r="AH10">
        <v>0.66400000000000003</v>
      </c>
      <c r="AI10">
        <v>0.69099999999999995</v>
      </c>
      <c r="AJ10">
        <v>0.65600000000000003</v>
      </c>
      <c r="AK10">
        <v>0.70199999999999996</v>
      </c>
      <c r="AL10">
        <v>0.79481595701720298</v>
      </c>
      <c r="AM10">
        <v>0.76424551061989821</v>
      </c>
      <c r="AN10">
        <v>0.80079397830888044</v>
      </c>
      <c r="AO10">
        <f t="shared" ca="1" si="2"/>
        <v>0.66256030604997518</v>
      </c>
    </row>
    <row r="11" spans="1:41">
      <c r="A11" t="s">
        <v>77</v>
      </c>
      <c r="B11" s="1" t="s">
        <v>9</v>
      </c>
      <c r="C11">
        <v>2.3600000000000001E-3</v>
      </c>
      <c r="D11">
        <v>2.3600000000000001E-3</v>
      </c>
      <c r="E11">
        <v>2.3600000000000001E-3</v>
      </c>
      <c r="F11">
        <f t="shared" si="0"/>
        <v>0.249</v>
      </c>
      <c r="G11">
        <f t="shared" si="1"/>
        <v>0.115</v>
      </c>
      <c r="H11">
        <v>0.129</v>
      </c>
      <c r="I11">
        <v>0.191</v>
      </c>
      <c r="J11">
        <v>0.11899999999999999</v>
      </c>
      <c r="K11">
        <v>0.188</v>
      </c>
      <c r="L11">
        <v>0.124</v>
      </c>
      <c r="M11">
        <v>0.249</v>
      </c>
      <c r="N11">
        <v>0.13900000000000001</v>
      </c>
      <c r="O11">
        <v>0.216</v>
      </c>
      <c r="P11">
        <v>0.115</v>
      </c>
      <c r="Q11">
        <v>0.22800000000000001</v>
      </c>
      <c r="R11">
        <v>0.11600000000000001</v>
      </c>
      <c r="S11">
        <v>0.11799999999999999</v>
      </c>
      <c r="T11">
        <v>5.6000000000000001E-2</v>
      </c>
      <c r="U11">
        <v>0.23699999999999999</v>
      </c>
      <c r="V11">
        <v>0.16800000000000001</v>
      </c>
      <c r="W11">
        <v>9.0999999999999998E-2</v>
      </c>
      <c r="X11">
        <v>0.17</v>
      </c>
      <c r="Y11">
        <v>0.122</v>
      </c>
      <c r="Z11">
        <v>0.371</v>
      </c>
      <c r="AA11">
        <v>0.187</v>
      </c>
      <c r="AB11">
        <v>0.13600000000000001</v>
      </c>
      <c r="AC11">
        <v>0.186</v>
      </c>
      <c r="AD11">
        <v>0.14499999999999999</v>
      </c>
      <c r="AE11">
        <v>0.14099999999999999</v>
      </c>
      <c r="AF11">
        <v>0.183</v>
      </c>
      <c r="AG11">
        <v>0.221</v>
      </c>
      <c r="AH11">
        <v>6.5000000000000002E-2</v>
      </c>
      <c r="AI11">
        <v>0.183</v>
      </c>
      <c r="AJ11">
        <v>0.19400000000000001</v>
      </c>
      <c r="AK11">
        <v>0.185</v>
      </c>
      <c r="AL11">
        <v>0.12923912713357821</v>
      </c>
      <c r="AM11">
        <v>0.12958521630985589</v>
      </c>
      <c r="AN11">
        <v>0.11973701774565401</v>
      </c>
      <c r="AO11">
        <f t="shared" ca="1" si="2"/>
        <v>0.12440082594627087</v>
      </c>
    </row>
    <row r="12" spans="1:41">
      <c r="A12" t="s">
        <v>78</v>
      </c>
      <c r="B12" s="1" t="s">
        <v>10</v>
      </c>
      <c r="C12">
        <v>7.9000000000000008E-3</v>
      </c>
      <c r="D12">
        <v>7.9000000000000008E-3</v>
      </c>
      <c r="E12">
        <v>7.9000000000000008E-3</v>
      </c>
      <c r="F12">
        <f t="shared" si="0"/>
        <v>1.0999999999999999E-2</v>
      </c>
      <c r="G12">
        <f t="shared" si="1"/>
        <v>3.0000000000000001E-3</v>
      </c>
      <c r="H12">
        <v>6.0000000000000001E-3</v>
      </c>
      <c r="I12">
        <v>7.0000000000000001E-3</v>
      </c>
      <c r="J12">
        <v>6.0000000000000001E-3</v>
      </c>
      <c r="K12">
        <v>7.0000000000000001E-3</v>
      </c>
      <c r="L12">
        <v>4.0000000000000001E-3</v>
      </c>
      <c r="M12">
        <v>3.0000000000000001E-3</v>
      </c>
      <c r="N12">
        <v>1.0999999999999999E-2</v>
      </c>
      <c r="O12">
        <v>5.0000000000000001E-3</v>
      </c>
      <c r="P12">
        <v>0.01</v>
      </c>
      <c r="Q12">
        <v>0.01</v>
      </c>
      <c r="R12">
        <v>4.0000000000000001E-3</v>
      </c>
      <c r="S12">
        <v>3.0000000000000001E-3</v>
      </c>
      <c r="T12">
        <v>4.0000000000000001E-3</v>
      </c>
      <c r="U12">
        <v>4.0000000000000001E-3</v>
      </c>
      <c r="V12">
        <v>6.0000000000000001E-3</v>
      </c>
      <c r="W12">
        <v>7.0000000000000001E-3</v>
      </c>
      <c r="X12">
        <v>3.0000000000000001E-3</v>
      </c>
      <c r="Y12">
        <v>7.0000000000000001E-3</v>
      </c>
      <c r="Z12">
        <v>3.0000000000000001E-3</v>
      </c>
      <c r="AA12">
        <v>3.0000000000000001E-3</v>
      </c>
      <c r="AB12">
        <v>0.02</v>
      </c>
      <c r="AC12">
        <v>1.2999999999999999E-2</v>
      </c>
      <c r="AD12">
        <v>4.3999999999999997E-2</v>
      </c>
      <c r="AE12">
        <v>1.7999999999999999E-2</v>
      </c>
      <c r="AF12">
        <v>7.0000000000000001E-3</v>
      </c>
      <c r="AG12">
        <v>0.01</v>
      </c>
      <c r="AH12">
        <v>0.02</v>
      </c>
      <c r="AI12">
        <v>2.8000000000000001E-2</v>
      </c>
      <c r="AJ12">
        <v>2.3E-2</v>
      </c>
      <c r="AK12">
        <v>1.2E-2</v>
      </c>
      <c r="AL12">
        <v>5.9710622285877321E-3</v>
      </c>
      <c r="AM12">
        <v>5.989638694587367E-3</v>
      </c>
      <c r="AN12">
        <v>6.0237034455384976E-3</v>
      </c>
      <c r="AO12">
        <f t="shared" ca="1" si="2"/>
        <v>5.9016202462221501E-3</v>
      </c>
    </row>
    <row r="13" spans="1:41">
      <c r="A13" t="s">
        <v>79</v>
      </c>
      <c r="B13" s="1" t="s">
        <v>106</v>
      </c>
      <c r="C13">
        <v>2.7</v>
      </c>
      <c r="D13">
        <v>2.7</v>
      </c>
      <c r="E13">
        <v>2.7</v>
      </c>
      <c r="F13">
        <f t="shared" si="0"/>
        <v>0</v>
      </c>
      <c r="G13">
        <f t="shared" si="1"/>
        <v>0</v>
      </c>
    </row>
    <row r="14" spans="1:41">
      <c r="A14" t="s">
        <v>79</v>
      </c>
      <c r="B14" s="1" t="s">
        <v>11</v>
      </c>
      <c r="C14">
        <v>2.0999999999999999E-3</v>
      </c>
      <c r="D14">
        <v>2.0999999999999999E-3</v>
      </c>
      <c r="E14">
        <v>2.0999999999999999E-3</v>
      </c>
      <c r="F14">
        <f t="shared" si="0"/>
        <v>1.0999999999999999E-2</v>
      </c>
      <c r="G14">
        <f t="shared" si="1"/>
        <v>2E-3</v>
      </c>
      <c r="H14">
        <v>4.0000000000000001E-3</v>
      </c>
      <c r="I14">
        <v>2E-3</v>
      </c>
      <c r="J14">
        <v>0.01</v>
      </c>
      <c r="K14">
        <v>2E-3</v>
      </c>
      <c r="L14">
        <v>6.0000000000000001E-3</v>
      </c>
      <c r="M14">
        <v>2E-3</v>
      </c>
      <c r="N14">
        <v>0.01</v>
      </c>
      <c r="O14">
        <v>5.0000000000000001E-3</v>
      </c>
      <c r="P14">
        <v>1.0999999999999999E-2</v>
      </c>
      <c r="Q14">
        <v>3.0000000000000001E-3</v>
      </c>
      <c r="R14">
        <v>1.2E-2</v>
      </c>
      <c r="S14">
        <v>4.0000000000000001E-3</v>
      </c>
      <c r="T14">
        <v>8.0000000000000002E-3</v>
      </c>
      <c r="U14">
        <v>5.0000000000000001E-3</v>
      </c>
      <c r="V14">
        <v>4.0000000000000001E-3</v>
      </c>
      <c r="W14">
        <v>4.0000000000000001E-3</v>
      </c>
      <c r="X14">
        <v>5.0000000000000001E-3</v>
      </c>
      <c r="Y14">
        <v>1.2E-2</v>
      </c>
      <c r="Z14">
        <v>6.0000000000000001E-3</v>
      </c>
      <c r="AA14">
        <v>1.2E-2</v>
      </c>
      <c r="AB14">
        <v>5.0000000000000001E-3</v>
      </c>
      <c r="AC14">
        <v>1.2999999999999999E-2</v>
      </c>
      <c r="AD14">
        <v>1.0999999999999999E-2</v>
      </c>
      <c r="AE14">
        <v>1.0999999999999999E-2</v>
      </c>
      <c r="AF14">
        <v>2E-3</v>
      </c>
      <c r="AG14">
        <v>3.0000000000000001E-3</v>
      </c>
      <c r="AH14">
        <v>1.7999999999999999E-2</v>
      </c>
      <c r="AI14">
        <v>3.0000000000000001E-3</v>
      </c>
      <c r="AJ14">
        <v>4.0000000000000001E-3</v>
      </c>
      <c r="AK14">
        <v>4.0000000000000001E-3</v>
      </c>
      <c r="AL14">
        <v>3.9804844969674501E-3</v>
      </c>
      <c r="AM14">
        <v>3.8247018720203546E-3</v>
      </c>
      <c r="AN14">
        <v>4.0564642372965757E-3</v>
      </c>
      <c r="AO14">
        <f t="shared" ca="1" si="2"/>
        <v>3.8161522019558064E-3</v>
      </c>
    </row>
    <row r="15" spans="1:41">
      <c r="A15" t="s">
        <v>79</v>
      </c>
      <c r="B15" s="1" t="s">
        <v>12</v>
      </c>
      <c r="C15">
        <v>8.9999999999999993E-3</v>
      </c>
      <c r="D15">
        <v>8.9999999999999993E-3</v>
      </c>
      <c r="E15">
        <v>8.9999999999999993E-3</v>
      </c>
      <c r="F15">
        <f t="shared" si="0"/>
        <v>2.1999999999999999E-2</v>
      </c>
      <c r="G15">
        <f t="shared" si="1"/>
        <v>3.0000000000000001E-3</v>
      </c>
      <c r="H15">
        <v>8.0000000000000002E-3</v>
      </c>
      <c r="I15">
        <v>2.1999999999999999E-2</v>
      </c>
      <c r="J15">
        <v>3.0000000000000001E-3</v>
      </c>
      <c r="K15">
        <v>1.6E-2</v>
      </c>
      <c r="L15">
        <v>7.0000000000000001E-3</v>
      </c>
      <c r="M15">
        <v>1.2E-2</v>
      </c>
      <c r="N15">
        <v>6.0000000000000001E-3</v>
      </c>
      <c r="O15">
        <v>2.1000000000000001E-2</v>
      </c>
      <c r="P15">
        <v>6.0000000000000001E-3</v>
      </c>
      <c r="Q15">
        <v>5.0000000000000001E-3</v>
      </c>
      <c r="R15">
        <v>4.0000000000000001E-3</v>
      </c>
      <c r="S15">
        <v>2E-3</v>
      </c>
      <c r="T15">
        <v>3.0000000000000001E-3</v>
      </c>
      <c r="U15">
        <v>7.0000000000000001E-3</v>
      </c>
      <c r="V15">
        <v>8.9999999999999993E-3</v>
      </c>
      <c r="W15">
        <v>4.0000000000000001E-3</v>
      </c>
      <c r="X15">
        <v>3.0000000000000001E-3</v>
      </c>
      <c r="Y15">
        <v>2E-3</v>
      </c>
      <c r="Z15">
        <v>1.9E-2</v>
      </c>
      <c r="AA15">
        <v>4.0000000000000001E-3</v>
      </c>
      <c r="AB15">
        <v>1.2999999999999999E-2</v>
      </c>
      <c r="AC15">
        <v>3.5999999999999997E-2</v>
      </c>
      <c r="AD15">
        <v>1.7999999999999999E-2</v>
      </c>
      <c r="AE15">
        <v>1.4E-2</v>
      </c>
      <c r="AF15">
        <v>3.6999999999999998E-2</v>
      </c>
      <c r="AG15">
        <v>8.9999999999999993E-3</v>
      </c>
      <c r="AH15">
        <v>3.6999999999999998E-2</v>
      </c>
      <c r="AI15">
        <v>1.0999999999999999E-2</v>
      </c>
      <c r="AJ15">
        <v>1.2E-2</v>
      </c>
      <c r="AK15">
        <v>2.7E-2</v>
      </c>
      <c r="AL15">
        <v>7.9977475829860912E-3</v>
      </c>
      <c r="AM15">
        <v>7.7854067363496071E-3</v>
      </c>
      <c r="AN15">
        <v>8.1766198591758672E-3</v>
      </c>
      <c r="AO15">
        <f t="shared" ca="1" si="2"/>
        <v>8.8169260241613475E-3</v>
      </c>
    </row>
    <row r="16" spans="1:41">
      <c r="A16" t="s">
        <v>80</v>
      </c>
      <c r="B16" s="1" t="s">
        <v>13</v>
      </c>
      <c r="C16">
        <v>1.88</v>
      </c>
      <c r="D16">
        <v>1.88</v>
      </c>
      <c r="E16">
        <v>1.88</v>
      </c>
      <c r="F16">
        <f t="shared" si="0"/>
        <v>2.016</v>
      </c>
      <c r="G16">
        <f t="shared" si="1"/>
        <v>1.5660000000000001</v>
      </c>
      <c r="H16">
        <v>1.748</v>
      </c>
      <c r="I16">
        <v>1.7030000000000001</v>
      </c>
      <c r="J16">
        <v>1.8360000000000001</v>
      </c>
      <c r="K16">
        <v>1.7529999999999999</v>
      </c>
      <c r="L16">
        <v>1.83</v>
      </c>
      <c r="M16">
        <v>1.677</v>
      </c>
      <c r="N16">
        <v>1.5660000000000001</v>
      </c>
      <c r="O16">
        <v>1.7170000000000001</v>
      </c>
      <c r="P16">
        <v>1.837</v>
      </c>
      <c r="Q16">
        <v>2.016</v>
      </c>
      <c r="R16">
        <v>1.86</v>
      </c>
      <c r="S16">
        <v>1.7929999999999999</v>
      </c>
      <c r="T16">
        <v>1.964</v>
      </c>
      <c r="U16">
        <v>1.819</v>
      </c>
      <c r="V16">
        <v>1.9790000000000001</v>
      </c>
      <c r="W16">
        <v>1.83</v>
      </c>
      <c r="X16">
        <v>2.0569999999999999</v>
      </c>
      <c r="Y16">
        <v>1.71</v>
      </c>
      <c r="Z16">
        <v>1.8919999999999999</v>
      </c>
      <c r="AA16">
        <v>1.6850000000000001</v>
      </c>
      <c r="AB16">
        <v>1.9319999999999999</v>
      </c>
      <c r="AC16">
        <v>2.02</v>
      </c>
      <c r="AD16">
        <v>1.9039999999999999</v>
      </c>
      <c r="AE16">
        <v>1.8440000000000001</v>
      </c>
      <c r="AF16">
        <v>1.835</v>
      </c>
      <c r="AG16">
        <v>1.8380000000000001</v>
      </c>
      <c r="AH16">
        <v>1.657</v>
      </c>
      <c r="AI16">
        <v>1.7370000000000001</v>
      </c>
      <c r="AJ16">
        <v>1.6870000000000001</v>
      </c>
      <c r="AK16">
        <v>2.1059999999999999</v>
      </c>
      <c r="AL16">
        <v>1.7772841780309843</v>
      </c>
      <c r="AM16">
        <v>1.7785483544062546</v>
      </c>
      <c r="AN16">
        <v>1.7244678257886781</v>
      </c>
      <c r="AO16">
        <f t="shared" ca="1" si="2"/>
        <v>1.7181550563303889</v>
      </c>
    </row>
    <row r="17" spans="1:41">
      <c r="A17" t="s">
        <v>81</v>
      </c>
      <c r="B17" s="1" t="s">
        <v>14</v>
      </c>
      <c r="C17">
        <v>4.7E-2</v>
      </c>
      <c r="D17">
        <v>4.7E-2</v>
      </c>
      <c r="E17">
        <v>4.7E-2</v>
      </c>
      <c r="F17">
        <f t="shared" si="0"/>
        <v>9.6000000000000002E-2</v>
      </c>
      <c r="G17">
        <f t="shared" si="1"/>
        <v>2.7E-2</v>
      </c>
      <c r="H17">
        <v>0.03</v>
      </c>
      <c r="I17">
        <v>2.9000000000000001E-2</v>
      </c>
      <c r="J17">
        <v>2.7E-2</v>
      </c>
      <c r="K17">
        <v>9.6000000000000002E-2</v>
      </c>
      <c r="L17">
        <v>4.9000000000000002E-2</v>
      </c>
      <c r="M17">
        <v>4.2999999999999997E-2</v>
      </c>
      <c r="N17">
        <v>5.8999999999999997E-2</v>
      </c>
      <c r="O17">
        <v>6.9000000000000006E-2</v>
      </c>
      <c r="P17">
        <v>6.0999999999999999E-2</v>
      </c>
      <c r="Q17">
        <v>4.8000000000000001E-2</v>
      </c>
      <c r="R17">
        <v>0.03</v>
      </c>
      <c r="S17">
        <v>0.02</v>
      </c>
      <c r="T17">
        <v>5.1999999999999998E-2</v>
      </c>
      <c r="U17">
        <v>1.7999999999999999E-2</v>
      </c>
      <c r="V17">
        <v>3.6999999999999998E-2</v>
      </c>
      <c r="W17">
        <v>0.02</v>
      </c>
      <c r="X17">
        <v>2.1999999999999999E-2</v>
      </c>
      <c r="Y17">
        <v>2.1999999999999999E-2</v>
      </c>
      <c r="Z17">
        <v>1.2E-2</v>
      </c>
      <c r="AA17">
        <v>1.7999999999999999E-2</v>
      </c>
      <c r="AB17">
        <v>8.2000000000000003E-2</v>
      </c>
      <c r="AC17">
        <v>0.182</v>
      </c>
      <c r="AD17">
        <v>0.14099999999999999</v>
      </c>
      <c r="AE17">
        <v>0.114</v>
      </c>
      <c r="AF17">
        <v>0.1</v>
      </c>
      <c r="AG17">
        <v>6.7000000000000004E-2</v>
      </c>
      <c r="AH17">
        <v>0.16</v>
      </c>
      <c r="AI17">
        <v>0.16300000000000001</v>
      </c>
      <c r="AJ17">
        <v>7.0000000000000007E-2</v>
      </c>
      <c r="AK17">
        <v>7.4999999999999997E-2</v>
      </c>
      <c r="AL17">
        <v>3.0372712934836992E-2</v>
      </c>
      <c r="AM17">
        <v>3.1958193945719859E-2</v>
      </c>
      <c r="AN17">
        <v>2.5339635847145259E-2</v>
      </c>
      <c r="AO17">
        <f t="shared" ca="1" si="2"/>
        <v>3.1634422946685614E-2</v>
      </c>
    </row>
    <row r="18" spans="1:41">
      <c r="A18" t="s">
        <v>81</v>
      </c>
      <c r="B18" s="1" t="s">
        <v>15</v>
      </c>
      <c r="C18">
        <v>225.59</v>
      </c>
      <c r="D18">
        <v>225.59</v>
      </c>
      <c r="E18">
        <v>225.59</v>
      </c>
      <c r="F18">
        <f t="shared" si="0"/>
        <v>246.6</v>
      </c>
      <c r="G18">
        <f t="shared" si="1"/>
        <v>199.5</v>
      </c>
      <c r="H18">
        <v>199.5</v>
      </c>
      <c r="I18">
        <v>215.2</v>
      </c>
      <c r="J18">
        <v>238.1</v>
      </c>
      <c r="K18">
        <v>217.7</v>
      </c>
      <c r="L18">
        <v>240.5</v>
      </c>
      <c r="M18">
        <v>228.1</v>
      </c>
      <c r="N18">
        <v>220.5</v>
      </c>
      <c r="O18">
        <v>227.1</v>
      </c>
      <c r="P18">
        <v>226.9</v>
      </c>
      <c r="Q18">
        <v>246.6</v>
      </c>
      <c r="R18">
        <v>231.3</v>
      </c>
      <c r="S18">
        <v>214.3</v>
      </c>
      <c r="T18">
        <v>187</v>
      </c>
      <c r="U18">
        <v>218.2</v>
      </c>
      <c r="V18">
        <v>228.5</v>
      </c>
      <c r="W18">
        <v>244.6</v>
      </c>
      <c r="X18">
        <v>239.7</v>
      </c>
      <c r="Y18">
        <v>242.3</v>
      </c>
      <c r="Z18">
        <v>307.39999999999998</v>
      </c>
      <c r="AA18">
        <v>269.7</v>
      </c>
      <c r="AB18">
        <v>244</v>
      </c>
      <c r="AC18">
        <v>210.9</v>
      </c>
      <c r="AD18">
        <v>202.1</v>
      </c>
      <c r="AE18">
        <v>249.8</v>
      </c>
      <c r="AF18">
        <v>230.6</v>
      </c>
      <c r="AG18">
        <v>268.8</v>
      </c>
      <c r="AH18">
        <v>313.7</v>
      </c>
      <c r="AI18">
        <v>238.3</v>
      </c>
      <c r="AJ18">
        <v>271.60000000000002</v>
      </c>
      <c r="AK18">
        <v>219.3</v>
      </c>
      <c r="AL18">
        <v>198.37030890260164</v>
      </c>
      <c r="AM18">
        <v>208.57309009523081</v>
      </c>
      <c r="AN18">
        <v>182.32936487030224</v>
      </c>
      <c r="AO18">
        <f t="shared" ca="1" si="2"/>
        <v>232.73949849849501</v>
      </c>
    </row>
    <row r="19" spans="1:41">
      <c r="A19" t="s">
        <v>82</v>
      </c>
      <c r="B19" s="1" t="s">
        <v>16</v>
      </c>
      <c r="C19">
        <v>7.9000000000000001E-2</v>
      </c>
      <c r="D19">
        <v>7.9000000000000001E-2</v>
      </c>
      <c r="E19">
        <v>7.9000000000000001E-2</v>
      </c>
      <c r="F19">
        <f t="shared" si="0"/>
        <v>0.34399999999999997</v>
      </c>
      <c r="G19">
        <f t="shared" si="1"/>
        <v>3.6999999999999998E-2</v>
      </c>
      <c r="H19">
        <v>9.8000000000000004E-2</v>
      </c>
      <c r="I19">
        <v>6.7000000000000004E-2</v>
      </c>
      <c r="J19">
        <v>0.34399999999999997</v>
      </c>
      <c r="K19">
        <v>0.11600000000000001</v>
      </c>
      <c r="L19">
        <v>0.109</v>
      </c>
      <c r="M19">
        <v>0.189</v>
      </c>
      <c r="N19">
        <v>0.06</v>
      </c>
      <c r="O19">
        <v>3.6999999999999998E-2</v>
      </c>
      <c r="P19">
        <v>0.11600000000000001</v>
      </c>
      <c r="Q19">
        <v>0.127</v>
      </c>
      <c r="R19">
        <v>4.7E-2</v>
      </c>
      <c r="S19">
        <v>8.4000000000000005E-2</v>
      </c>
      <c r="T19">
        <v>5.6000000000000001E-2</v>
      </c>
      <c r="U19">
        <v>5.3999999999999999E-2</v>
      </c>
      <c r="V19">
        <v>6.9000000000000006E-2</v>
      </c>
      <c r="W19">
        <v>9.2999999999999999E-2</v>
      </c>
      <c r="X19">
        <v>7.3999999999999996E-2</v>
      </c>
      <c r="Y19">
        <v>0.124</v>
      </c>
      <c r="Z19">
        <v>0.11700000000000001</v>
      </c>
      <c r="AA19">
        <v>0.10299999999999999</v>
      </c>
      <c r="AB19">
        <v>0.223</v>
      </c>
      <c r="AC19">
        <v>4.2000000000000003E-2</v>
      </c>
      <c r="AD19">
        <v>0.161</v>
      </c>
      <c r="AE19">
        <v>0.21</v>
      </c>
      <c r="AF19">
        <v>5.7000000000000002E-2</v>
      </c>
      <c r="AG19">
        <v>0.214</v>
      </c>
      <c r="AH19">
        <v>0.2</v>
      </c>
      <c r="AI19">
        <v>0.189</v>
      </c>
      <c r="AJ19">
        <v>0.374</v>
      </c>
      <c r="AK19">
        <v>7.3999999999999996E-2</v>
      </c>
      <c r="AL19">
        <v>9.84410065110813E-2</v>
      </c>
      <c r="AM19">
        <v>9.6378698671116272E-2</v>
      </c>
      <c r="AN19">
        <v>0.10647590137544993</v>
      </c>
      <c r="AO19">
        <f t="shared" ca="1" si="2"/>
        <v>0.10886859506932149</v>
      </c>
    </row>
    <row r="20" spans="1:41">
      <c r="A20" t="s">
        <v>82</v>
      </c>
      <c r="B20" s="1" t="s">
        <v>17</v>
      </c>
      <c r="C20">
        <v>6.5000000000000002E-2</v>
      </c>
      <c r="D20">
        <v>6.5000000000000002E-2</v>
      </c>
      <c r="E20">
        <v>6.5000000000000002E-2</v>
      </c>
      <c r="F20">
        <f t="shared" si="0"/>
        <v>8.5999999999999993E-2</v>
      </c>
      <c r="G20">
        <f t="shared" si="1"/>
        <v>4.4999999999999998E-2</v>
      </c>
      <c r="H20">
        <v>5.2999999999999999E-2</v>
      </c>
      <c r="I20">
        <v>7.8E-2</v>
      </c>
      <c r="J20">
        <v>4.4999999999999998E-2</v>
      </c>
      <c r="K20">
        <v>7.9000000000000001E-2</v>
      </c>
      <c r="L20">
        <v>6.0999999999999999E-2</v>
      </c>
      <c r="M20">
        <v>8.5999999999999993E-2</v>
      </c>
      <c r="N20">
        <v>7.5999999999999998E-2</v>
      </c>
      <c r="O20">
        <v>7.0999999999999994E-2</v>
      </c>
      <c r="P20">
        <v>7.1999999999999995E-2</v>
      </c>
      <c r="Q20">
        <v>6.6000000000000003E-2</v>
      </c>
      <c r="R20">
        <v>8.5999999999999993E-2</v>
      </c>
      <c r="S20">
        <v>7.1999999999999995E-2</v>
      </c>
      <c r="T20">
        <v>7.4999999999999997E-2</v>
      </c>
      <c r="U20">
        <v>5.8000000000000003E-2</v>
      </c>
      <c r="V20">
        <v>6.4000000000000001E-2</v>
      </c>
      <c r="W20">
        <v>5.1999999999999998E-2</v>
      </c>
      <c r="X20">
        <v>7.9000000000000001E-2</v>
      </c>
      <c r="Y20">
        <v>6.8000000000000005E-2</v>
      </c>
      <c r="Z20">
        <v>5.8000000000000003E-2</v>
      </c>
      <c r="AA20">
        <v>0.09</v>
      </c>
      <c r="AB20">
        <v>6.9000000000000006E-2</v>
      </c>
      <c r="AC20">
        <v>7.1999999999999995E-2</v>
      </c>
      <c r="AD20">
        <v>5.6000000000000001E-2</v>
      </c>
      <c r="AE20">
        <v>6.7000000000000004E-2</v>
      </c>
      <c r="AF20">
        <v>0.115</v>
      </c>
      <c r="AG20">
        <v>3.5999999999999997E-2</v>
      </c>
      <c r="AH20">
        <v>0.128</v>
      </c>
      <c r="AI20">
        <v>6.2E-2</v>
      </c>
      <c r="AJ20">
        <v>5.1999999999999998E-2</v>
      </c>
      <c r="AK20">
        <v>4.1000000000000002E-2</v>
      </c>
      <c r="AL20">
        <v>5.3660689962380791E-2</v>
      </c>
      <c r="AM20">
        <v>5.4989294853716328E-2</v>
      </c>
      <c r="AN20">
        <v>4.6842294975727929E-2</v>
      </c>
      <c r="AO20">
        <f t="shared" ca="1" si="2"/>
        <v>4.6684942372317934E-2</v>
      </c>
    </row>
    <row r="21" spans="1:41">
      <c r="A21" t="s">
        <v>83</v>
      </c>
      <c r="B21" s="1" t="s">
        <v>18</v>
      </c>
      <c r="C21">
        <v>3.3099999999999997E-2</v>
      </c>
      <c r="D21">
        <v>3.3099999999999997E-2</v>
      </c>
      <c r="E21">
        <v>3.3099999999999997E-2</v>
      </c>
      <c r="F21">
        <f t="shared" si="0"/>
        <v>4.7E-2</v>
      </c>
      <c r="G21">
        <f t="shared" si="1"/>
        <v>1.2E-2</v>
      </c>
      <c r="H21">
        <v>1.4999999999999999E-2</v>
      </c>
      <c r="I21">
        <v>0.03</v>
      </c>
      <c r="J21">
        <v>1.2E-2</v>
      </c>
      <c r="K21">
        <v>4.7E-2</v>
      </c>
      <c r="L21">
        <v>3.3000000000000002E-2</v>
      </c>
      <c r="M21">
        <v>1.2999999999999999E-2</v>
      </c>
      <c r="N21">
        <v>2.7E-2</v>
      </c>
      <c r="O21">
        <v>3.4000000000000002E-2</v>
      </c>
      <c r="P21">
        <v>1.7000000000000001E-2</v>
      </c>
      <c r="Q21">
        <v>1.7999999999999999E-2</v>
      </c>
      <c r="R21">
        <v>3.3000000000000002E-2</v>
      </c>
      <c r="S21">
        <v>2.1999999999999999E-2</v>
      </c>
      <c r="T21">
        <v>3.1E-2</v>
      </c>
      <c r="U21">
        <v>2.7E-2</v>
      </c>
      <c r="V21">
        <v>3.2000000000000001E-2</v>
      </c>
      <c r="W21">
        <v>1.4E-2</v>
      </c>
      <c r="X21">
        <v>1.4E-2</v>
      </c>
      <c r="Y21">
        <v>1.4E-2</v>
      </c>
      <c r="Z21">
        <v>1.6E-2</v>
      </c>
      <c r="AA21">
        <v>2.5000000000000001E-2</v>
      </c>
      <c r="AB21">
        <v>5.1999999999999998E-2</v>
      </c>
      <c r="AC21">
        <v>8.8999999999999996E-2</v>
      </c>
      <c r="AD21">
        <v>5.8999999999999997E-2</v>
      </c>
      <c r="AE21">
        <v>8.2000000000000003E-2</v>
      </c>
      <c r="AF21">
        <v>8.3000000000000004E-2</v>
      </c>
      <c r="AG21">
        <v>7.3999999999999996E-2</v>
      </c>
      <c r="AH21">
        <v>8.7999999999999995E-2</v>
      </c>
      <c r="AI21">
        <v>5.6000000000000001E-2</v>
      </c>
      <c r="AJ21">
        <v>4.8000000000000001E-2</v>
      </c>
      <c r="AK21">
        <v>0.08</v>
      </c>
      <c r="AL21">
        <v>1.5200981838044384E-2</v>
      </c>
      <c r="AM21">
        <v>1.6346819314187182E-2</v>
      </c>
      <c r="AN21">
        <v>1.7145718111818906E-2</v>
      </c>
      <c r="AO21">
        <f t="shared" ca="1" si="2"/>
        <v>1.4787567241081091E-2</v>
      </c>
    </row>
    <row r="22" spans="1:41">
      <c r="A22" t="s">
        <v>80</v>
      </c>
      <c r="B22" s="1" t="s">
        <v>19</v>
      </c>
      <c r="C22">
        <v>0.05</v>
      </c>
      <c r="D22">
        <v>0.05</v>
      </c>
      <c r="E22">
        <v>0.05</v>
      </c>
      <c r="F22">
        <f t="shared" si="0"/>
        <v>0.107</v>
      </c>
      <c r="G22">
        <f t="shared" si="1"/>
        <v>4.2999999999999997E-2</v>
      </c>
      <c r="H22">
        <v>5.8999999999999997E-2</v>
      </c>
      <c r="I22">
        <v>6.2E-2</v>
      </c>
      <c r="J22">
        <v>4.9000000000000002E-2</v>
      </c>
      <c r="K22">
        <v>0.06</v>
      </c>
      <c r="L22">
        <v>4.2999999999999997E-2</v>
      </c>
      <c r="M22">
        <v>5.8000000000000003E-2</v>
      </c>
      <c r="N22">
        <v>7.4999999999999997E-2</v>
      </c>
      <c r="O22">
        <v>6.3E-2</v>
      </c>
      <c r="P22">
        <v>0.107</v>
      </c>
      <c r="Q22">
        <v>7.0000000000000007E-2</v>
      </c>
      <c r="R22">
        <v>3.4000000000000002E-2</v>
      </c>
      <c r="S22">
        <v>2.8000000000000001E-2</v>
      </c>
      <c r="T22">
        <v>4.2000000000000003E-2</v>
      </c>
      <c r="U22">
        <v>3.1E-2</v>
      </c>
      <c r="V22">
        <v>5.6000000000000001E-2</v>
      </c>
      <c r="W22">
        <v>3.6999999999999998E-2</v>
      </c>
      <c r="X22">
        <v>4.8000000000000001E-2</v>
      </c>
      <c r="Y22">
        <v>5.5E-2</v>
      </c>
      <c r="Z22">
        <v>4.2000000000000003E-2</v>
      </c>
      <c r="AA22">
        <v>0.05</v>
      </c>
      <c r="AB22">
        <v>5.3999999999999999E-2</v>
      </c>
      <c r="AC22">
        <v>3.4000000000000002E-2</v>
      </c>
      <c r="AD22">
        <v>6.9000000000000006E-2</v>
      </c>
      <c r="AE22">
        <v>3.5999999999999997E-2</v>
      </c>
      <c r="AF22">
        <v>0.08</v>
      </c>
      <c r="AG22">
        <v>4.7E-2</v>
      </c>
      <c r="AH22">
        <v>3.2000000000000001E-2</v>
      </c>
      <c r="AI22">
        <v>0.03</v>
      </c>
      <c r="AJ22">
        <v>3.3000000000000002E-2</v>
      </c>
      <c r="AK22">
        <v>3.7999999999999999E-2</v>
      </c>
      <c r="AL22">
        <v>5.781380814221472E-2</v>
      </c>
      <c r="AM22">
        <v>5.9353564990077434E-2</v>
      </c>
      <c r="AN22">
        <v>6.0452160289765682E-2</v>
      </c>
      <c r="AO22">
        <f t="shared" ca="1" si="2"/>
        <v>5.8806350606083503E-2</v>
      </c>
    </row>
    <row r="23" spans="1:41">
      <c r="A23" t="s">
        <v>84</v>
      </c>
      <c r="B23" s="1" t="s">
        <v>20</v>
      </c>
      <c r="C23">
        <v>0.19</v>
      </c>
      <c r="D23">
        <v>0.19</v>
      </c>
      <c r="E23">
        <v>0.19</v>
      </c>
      <c r="F23">
        <f t="shared" si="0"/>
        <v>0.55000000000000004</v>
      </c>
      <c r="G23">
        <f t="shared" si="1"/>
        <v>8.5000000000000006E-2</v>
      </c>
      <c r="H23">
        <v>0.156</v>
      </c>
      <c r="I23">
        <v>0.32600000000000001</v>
      </c>
      <c r="J23">
        <v>0.104</v>
      </c>
      <c r="K23">
        <v>0.186</v>
      </c>
      <c r="L23">
        <v>8.5000000000000006E-2</v>
      </c>
      <c r="M23">
        <v>0.20499999999999999</v>
      </c>
      <c r="N23">
        <v>0.55000000000000004</v>
      </c>
      <c r="O23">
        <v>0.19</v>
      </c>
      <c r="P23">
        <v>0.17199999999999999</v>
      </c>
      <c r="Q23">
        <v>0.13500000000000001</v>
      </c>
      <c r="R23">
        <v>0.24099999999999999</v>
      </c>
      <c r="S23">
        <v>7.2999999999999995E-2</v>
      </c>
      <c r="T23">
        <v>0.23</v>
      </c>
      <c r="U23">
        <v>0.13300000000000001</v>
      </c>
      <c r="V23">
        <v>0.32500000000000001</v>
      </c>
      <c r="W23">
        <v>7.5999999999999998E-2</v>
      </c>
      <c r="X23">
        <v>0.20300000000000001</v>
      </c>
      <c r="Y23">
        <v>7.5999999999999998E-2</v>
      </c>
      <c r="Z23">
        <v>0.104</v>
      </c>
      <c r="AA23">
        <v>0.11700000000000001</v>
      </c>
      <c r="AB23">
        <v>0.08</v>
      </c>
      <c r="AC23">
        <v>0.24199999999999999</v>
      </c>
      <c r="AD23">
        <v>0.30199999999999999</v>
      </c>
      <c r="AE23">
        <v>0.08</v>
      </c>
      <c r="AF23">
        <v>0.83099999999999996</v>
      </c>
      <c r="AG23">
        <v>0.24199999999999999</v>
      </c>
      <c r="AH23">
        <v>0.159</v>
      </c>
      <c r="AI23">
        <v>6.8000000000000005E-2</v>
      </c>
      <c r="AJ23">
        <v>0.13700000000000001</v>
      </c>
      <c r="AK23">
        <v>0.27800000000000002</v>
      </c>
      <c r="AL23">
        <v>0.15489549917761808</v>
      </c>
      <c r="AM23">
        <v>0.16138618609383723</v>
      </c>
      <c r="AN23">
        <v>0.17859219918001723</v>
      </c>
      <c r="AO23">
        <f t="shared" ca="1" si="2"/>
        <v>0.14667335318280225</v>
      </c>
    </row>
    <row r="24" spans="1:41">
      <c r="A24" t="s">
        <v>84</v>
      </c>
      <c r="B24" s="1" t="s">
        <v>21</v>
      </c>
      <c r="C24">
        <v>3.04E-2</v>
      </c>
      <c r="D24">
        <v>3.04E-2</v>
      </c>
      <c r="E24">
        <v>3.04E-2</v>
      </c>
      <c r="F24">
        <f t="shared" si="0"/>
        <v>8.3000000000000004E-2</v>
      </c>
      <c r="G24">
        <f t="shared" si="1"/>
        <v>1.7000000000000001E-2</v>
      </c>
      <c r="H24">
        <v>4.2999999999999997E-2</v>
      </c>
      <c r="I24">
        <v>8.3000000000000004E-2</v>
      </c>
      <c r="J24">
        <v>2.1000000000000001E-2</v>
      </c>
      <c r="K24">
        <v>4.1000000000000002E-2</v>
      </c>
      <c r="L24">
        <v>0.03</v>
      </c>
      <c r="M24">
        <v>2.9000000000000001E-2</v>
      </c>
      <c r="N24">
        <v>0.03</v>
      </c>
      <c r="O24">
        <v>4.2000000000000003E-2</v>
      </c>
      <c r="P24">
        <v>2.4E-2</v>
      </c>
      <c r="Q24">
        <v>1.7000000000000001E-2</v>
      </c>
      <c r="R24">
        <v>2.1000000000000001E-2</v>
      </c>
      <c r="S24">
        <v>1.4999999999999999E-2</v>
      </c>
      <c r="T24">
        <v>3.3000000000000002E-2</v>
      </c>
      <c r="U24">
        <v>6.0000000000000001E-3</v>
      </c>
      <c r="V24">
        <v>4.1000000000000002E-2</v>
      </c>
      <c r="W24">
        <v>1.2E-2</v>
      </c>
      <c r="X24">
        <v>2.5000000000000001E-2</v>
      </c>
      <c r="Y24">
        <v>3.1E-2</v>
      </c>
      <c r="Z24">
        <v>2.1999999999999999E-2</v>
      </c>
      <c r="AA24">
        <v>1.9E-2</v>
      </c>
      <c r="AB24">
        <v>3.4000000000000002E-2</v>
      </c>
      <c r="AC24">
        <v>2.1999999999999999E-2</v>
      </c>
      <c r="AD24">
        <v>0.09</v>
      </c>
      <c r="AE24">
        <v>1.7999999999999999E-2</v>
      </c>
      <c r="AF24">
        <v>1.6E-2</v>
      </c>
      <c r="AG24">
        <v>1.2999999999999999E-2</v>
      </c>
      <c r="AH24">
        <v>1.2E-2</v>
      </c>
      <c r="AI24">
        <v>5.0000000000000001E-3</v>
      </c>
      <c r="AJ24">
        <v>7.0000000000000001E-3</v>
      </c>
      <c r="AK24">
        <v>1.7999999999999999E-2</v>
      </c>
      <c r="AL24">
        <v>4.4127843061063078E-2</v>
      </c>
      <c r="AM24">
        <v>4.3769690090623849E-2</v>
      </c>
      <c r="AN24">
        <v>3.6486139052681506E-2</v>
      </c>
      <c r="AO24">
        <f t="shared" ca="1" si="2"/>
        <v>4.0257037282298819E-2</v>
      </c>
    </row>
    <row r="25" spans="1:41">
      <c r="A25" t="s">
        <v>85</v>
      </c>
      <c r="B25" s="2" t="s">
        <v>22</v>
      </c>
      <c r="C25">
        <v>91.49</v>
      </c>
      <c r="D25">
        <v>151.30000000000001</v>
      </c>
      <c r="E25">
        <v>154.4</v>
      </c>
      <c r="F25">
        <f t="shared" si="0"/>
        <v>157.5</v>
      </c>
      <c r="G25">
        <f t="shared" si="1"/>
        <v>128.4</v>
      </c>
      <c r="H25">
        <v>151.30000000000001</v>
      </c>
      <c r="I25">
        <v>157.5</v>
      </c>
      <c r="J25">
        <v>152.30000000000001</v>
      </c>
      <c r="K25">
        <v>154.4</v>
      </c>
      <c r="L25">
        <v>139.69999999999999</v>
      </c>
      <c r="M25">
        <v>154.9</v>
      </c>
      <c r="N25">
        <v>128.4</v>
      </c>
      <c r="O25">
        <v>149.5</v>
      </c>
      <c r="P25">
        <v>145.30000000000001</v>
      </c>
      <c r="Q25">
        <v>140.80000000000001</v>
      </c>
      <c r="R25">
        <v>129.5</v>
      </c>
      <c r="S25">
        <v>135.80000000000001</v>
      </c>
      <c r="T25">
        <v>135.69999999999999</v>
      </c>
      <c r="U25">
        <v>144.9</v>
      </c>
      <c r="V25">
        <v>143.19999999999999</v>
      </c>
      <c r="W25">
        <v>152.5</v>
      </c>
      <c r="X25">
        <v>124.4</v>
      </c>
      <c r="Y25">
        <v>126.9</v>
      </c>
      <c r="Z25">
        <v>161</v>
      </c>
      <c r="AA25">
        <v>135.6</v>
      </c>
      <c r="AB25">
        <v>146.9</v>
      </c>
      <c r="AC25">
        <v>132.9</v>
      </c>
      <c r="AD25">
        <v>139.6</v>
      </c>
      <c r="AE25">
        <v>147.19999999999999</v>
      </c>
      <c r="AF25">
        <v>139.80000000000001</v>
      </c>
      <c r="AG25">
        <v>146.30000000000001</v>
      </c>
      <c r="AH25">
        <v>132.69999999999999</v>
      </c>
      <c r="AI25">
        <v>144.69999999999999</v>
      </c>
      <c r="AJ25">
        <v>139.30000000000001</v>
      </c>
      <c r="AK25">
        <v>140.4</v>
      </c>
      <c r="AL25">
        <v>152.02660256649699</v>
      </c>
      <c r="AM25">
        <v>159.31852583512702</v>
      </c>
      <c r="AN25">
        <v>147.37811985018078</v>
      </c>
      <c r="AO25">
        <f t="shared" ca="1" si="2"/>
        <v>153.12572752431296</v>
      </c>
    </row>
    <row r="26" spans="1:41">
      <c r="A26" t="s">
        <v>86</v>
      </c>
      <c r="B26" s="2" t="s">
        <v>23</v>
      </c>
      <c r="C26">
        <v>1.9075735199999999</v>
      </c>
      <c r="D26">
        <v>3.0009999999999999</v>
      </c>
      <c r="E26">
        <v>3.0009999999999999</v>
      </c>
      <c r="F26">
        <f t="shared" si="0"/>
        <v>3.415</v>
      </c>
      <c r="G26">
        <f t="shared" si="1"/>
        <v>2.351</v>
      </c>
      <c r="H26">
        <v>3.0009999999999999</v>
      </c>
      <c r="I26">
        <v>2.351</v>
      </c>
      <c r="J26">
        <v>2.8639999999999999</v>
      </c>
      <c r="K26">
        <v>2.4750000000000001</v>
      </c>
      <c r="L26">
        <v>2.9529999999999998</v>
      </c>
      <c r="M26">
        <v>2.6019999999999999</v>
      </c>
      <c r="N26">
        <v>2.6160000000000001</v>
      </c>
      <c r="O26">
        <v>2.8719999999999999</v>
      </c>
      <c r="P26">
        <v>3.1320000000000001</v>
      </c>
      <c r="Q26">
        <v>3.415</v>
      </c>
      <c r="R26">
        <v>2.7320000000000002</v>
      </c>
      <c r="S26">
        <v>2.2080000000000002</v>
      </c>
      <c r="T26">
        <v>2.7120000000000002</v>
      </c>
      <c r="U26">
        <v>2.81</v>
      </c>
      <c r="V26">
        <v>2.8959999999999999</v>
      </c>
      <c r="W26">
        <v>3.07</v>
      </c>
      <c r="X26">
        <v>2.7349999999999999</v>
      </c>
      <c r="Y26">
        <v>2.9940000000000002</v>
      </c>
      <c r="Z26">
        <v>2.7919999999999998</v>
      </c>
      <c r="AA26">
        <v>3.3420000000000001</v>
      </c>
      <c r="AB26">
        <v>3.2629999999999999</v>
      </c>
      <c r="AC26">
        <v>3.198</v>
      </c>
      <c r="AD26">
        <v>3.2879999999999998</v>
      </c>
      <c r="AE26">
        <v>2.8450000000000002</v>
      </c>
      <c r="AF26">
        <v>2.8119999999999998</v>
      </c>
      <c r="AG26">
        <v>2.6469999999999998</v>
      </c>
      <c r="AH26">
        <v>4.101</v>
      </c>
      <c r="AI26">
        <v>2.72</v>
      </c>
      <c r="AJ26">
        <v>2.9079999999999999</v>
      </c>
      <c r="AK26">
        <v>2.863</v>
      </c>
      <c r="AL26">
        <v>3.0388346405515243</v>
      </c>
      <c r="AM26">
        <v>2.9951910721366857</v>
      </c>
      <c r="AN26">
        <v>3.0301673445304109</v>
      </c>
      <c r="AO26">
        <f t="shared" ca="1" si="2"/>
        <v>2.9435053396070101</v>
      </c>
    </row>
    <row r="27" spans="1:41">
      <c r="A27" t="s">
        <v>87</v>
      </c>
      <c r="B27" s="1" t="s">
        <v>24</v>
      </c>
      <c r="C27">
        <v>78</v>
      </c>
      <c r="D27">
        <v>78</v>
      </c>
      <c r="E27">
        <v>78</v>
      </c>
      <c r="F27">
        <f t="shared" si="0"/>
        <v>102.62</v>
      </c>
      <c r="G27">
        <f t="shared" si="1"/>
        <v>57.32</v>
      </c>
      <c r="H27">
        <v>76.37</v>
      </c>
      <c r="I27">
        <v>102.62</v>
      </c>
      <c r="J27">
        <v>74.61</v>
      </c>
      <c r="K27">
        <v>57.32</v>
      </c>
      <c r="L27">
        <v>59.06</v>
      </c>
      <c r="M27">
        <v>68.709999999999994</v>
      </c>
      <c r="N27">
        <v>67.319999999999993</v>
      </c>
      <c r="O27">
        <v>68.28</v>
      </c>
      <c r="P27">
        <v>64</v>
      </c>
      <c r="Q27">
        <v>66.63</v>
      </c>
      <c r="R27">
        <v>54.33</v>
      </c>
      <c r="S27">
        <v>60.75</v>
      </c>
      <c r="T27">
        <v>44.71</v>
      </c>
      <c r="U27">
        <v>60.44</v>
      </c>
      <c r="V27">
        <v>45.26</v>
      </c>
      <c r="W27">
        <v>50.6</v>
      </c>
      <c r="X27">
        <v>46.01</v>
      </c>
      <c r="Y27">
        <v>51.16</v>
      </c>
      <c r="Z27">
        <v>50.75</v>
      </c>
      <c r="AA27">
        <v>48.83</v>
      </c>
      <c r="AB27">
        <v>58.86</v>
      </c>
      <c r="AC27">
        <v>24.76</v>
      </c>
      <c r="AD27">
        <v>46.85</v>
      </c>
      <c r="AE27">
        <v>51.6</v>
      </c>
      <c r="AF27">
        <v>43.47</v>
      </c>
      <c r="AG27">
        <v>38.19</v>
      </c>
      <c r="AH27">
        <v>34.590000000000003</v>
      </c>
      <c r="AI27">
        <v>38.24</v>
      </c>
      <c r="AJ27">
        <v>36.82</v>
      </c>
      <c r="AK27">
        <v>58.06</v>
      </c>
      <c r="AL27">
        <v>76.034880126759347</v>
      </c>
      <c r="AM27">
        <v>76.187943853521602</v>
      </c>
      <c r="AN27">
        <v>81.680475418616709</v>
      </c>
      <c r="AO27">
        <f t="shared" ca="1" si="2"/>
        <v>79.323366600224247</v>
      </c>
    </row>
    <row r="28" spans="1:41">
      <c r="A28" t="s">
        <v>88</v>
      </c>
      <c r="B28" s="1" t="s">
        <v>25</v>
      </c>
      <c r="C28">
        <v>26.2</v>
      </c>
      <c r="D28">
        <v>26.2</v>
      </c>
      <c r="E28">
        <v>26.2</v>
      </c>
      <c r="F28">
        <f t="shared" si="0"/>
        <v>138.97999999999999</v>
      </c>
      <c r="G28">
        <f t="shared" si="1"/>
        <v>69.239999999999995</v>
      </c>
      <c r="H28">
        <v>90.56</v>
      </c>
      <c r="I28">
        <v>88.51</v>
      </c>
      <c r="J28">
        <v>69.239999999999995</v>
      </c>
      <c r="K28">
        <v>103.75</v>
      </c>
      <c r="L28">
        <v>93.76</v>
      </c>
      <c r="M28">
        <v>96.16</v>
      </c>
      <c r="N28">
        <v>70.25</v>
      </c>
      <c r="O28">
        <v>94.61</v>
      </c>
      <c r="P28">
        <v>138.97999999999999</v>
      </c>
      <c r="Q28">
        <v>81.650000000000006</v>
      </c>
      <c r="R28">
        <v>118.71</v>
      </c>
      <c r="S28">
        <v>99.83</v>
      </c>
      <c r="T28">
        <v>102.53</v>
      </c>
      <c r="U28">
        <v>78.680000000000007</v>
      </c>
      <c r="V28">
        <v>97.62</v>
      </c>
      <c r="W28">
        <v>72.209999999999994</v>
      </c>
      <c r="X28">
        <v>133.78</v>
      </c>
      <c r="Y28">
        <v>93.13</v>
      </c>
      <c r="Z28">
        <v>116.57</v>
      </c>
      <c r="AA28">
        <v>146.65</v>
      </c>
      <c r="AB28">
        <v>79.790000000000006</v>
      </c>
      <c r="AC28">
        <v>89.9</v>
      </c>
      <c r="AD28">
        <v>62.27</v>
      </c>
      <c r="AE28">
        <v>127.54</v>
      </c>
      <c r="AF28">
        <v>71.72</v>
      </c>
      <c r="AG28">
        <v>103.26</v>
      </c>
      <c r="AH28">
        <v>163.74</v>
      </c>
      <c r="AI28">
        <v>99.97</v>
      </c>
      <c r="AJ28">
        <v>129.32</v>
      </c>
      <c r="AK28">
        <v>106.42</v>
      </c>
      <c r="AL28">
        <v>90.872951762525872</v>
      </c>
      <c r="AM28">
        <v>90.63093564708555</v>
      </c>
      <c r="AN28">
        <v>84.559687928215396</v>
      </c>
      <c r="AO28">
        <f t="shared" ca="1" si="2"/>
        <v>109.84147111138329</v>
      </c>
    </row>
    <row r="29" spans="1:41">
      <c r="A29" t="s">
        <v>89</v>
      </c>
      <c r="B29" s="1" t="s">
        <v>26</v>
      </c>
      <c r="F29">
        <f t="shared" si="0"/>
        <v>1.224</v>
      </c>
      <c r="G29">
        <f t="shared" si="1"/>
        <v>0.92500000000000004</v>
      </c>
      <c r="H29">
        <v>1.0329999999999999</v>
      </c>
      <c r="I29">
        <v>1.0980000000000001</v>
      </c>
      <c r="J29">
        <v>1.0049999999999999</v>
      </c>
      <c r="K29">
        <v>0.92500000000000004</v>
      </c>
      <c r="L29">
        <v>1.1619999999999999</v>
      </c>
      <c r="M29">
        <v>1.224</v>
      </c>
      <c r="N29">
        <v>1.1599999999999999</v>
      </c>
      <c r="O29">
        <v>1.145</v>
      </c>
      <c r="P29">
        <v>1.1359999999999999</v>
      </c>
      <c r="Q29">
        <v>1.141</v>
      </c>
      <c r="R29">
        <v>1.2290000000000001</v>
      </c>
      <c r="S29">
        <v>1.0640000000000001</v>
      </c>
      <c r="T29">
        <v>1.123</v>
      </c>
      <c r="U29">
        <v>0.97599999999999998</v>
      </c>
      <c r="V29">
        <v>1.056</v>
      </c>
      <c r="W29">
        <v>1.165</v>
      </c>
      <c r="X29">
        <v>1.2</v>
      </c>
      <c r="Y29">
        <v>1.0580000000000001</v>
      </c>
      <c r="Z29">
        <v>1.206</v>
      </c>
      <c r="AA29">
        <v>1.212</v>
      </c>
      <c r="AB29">
        <v>0.90300000000000002</v>
      </c>
      <c r="AC29">
        <v>0.92</v>
      </c>
      <c r="AD29">
        <v>0.83799999999999997</v>
      </c>
      <c r="AE29">
        <v>1.1879999999999999</v>
      </c>
      <c r="AF29">
        <v>0.89100000000000001</v>
      </c>
      <c r="AG29">
        <v>1.218</v>
      </c>
      <c r="AH29">
        <v>1.121</v>
      </c>
      <c r="AI29">
        <v>0.97799999999999998</v>
      </c>
      <c r="AJ29">
        <v>1.4419999999999999</v>
      </c>
      <c r="AK29">
        <v>1.4650000000000001</v>
      </c>
      <c r="AL29">
        <v>1.0362835460831725</v>
      </c>
      <c r="AM29">
        <v>1.0726825056958611</v>
      </c>
      <c r="AN29">
        <v>1.1570297654205446</v>
      </c>
      <c r="AO29">
        <f t="shared" ca="1" si="2"/>
        <v>0.97708946759570037</v>
      </c>
    </row>
    <row r="30" spans="1:41">
      <c r="A30" t="s">
        <v>92</v>
      </c>
      <c r="B30" s="1" t="s">
        <v>91</v>
      </c>
      <c r="F30">
        <f t="shared" si="0"/>
        <v>0.17599999999999999</v>
      </c>
      <c r="G30">
        <f t="shared" si="1"/>
        <v>4.4999999999999998E-2</v>
      </c>
      <c r="H30">
        <v>0.108</v>
      </c>
      <c r="I30">
        <v>9.0999999999999998E-2</v>
      </c>
      <c r="J30">
        <v>7.0999999999999994E-2</v>
      </c>
      <c r="K30">
        <v>4.4999999999999998E-2</v>
      </c>
      <c r="L30">
        <v>6.5000000000000002E-2</v>
      </c>
      <c r="M30">
        <v>0.128</v>
      </c>
      <c r="N30">
        <v>0.17599999999999999</v>
      </c>
      <c r="O30">
        <v>0.129</v>
      </c>
      <c r="P30">
        <v>0.112</v>
      </c>
      <c r="Q30">
        <v>0.108</v>
      </c>
      <c r="R30">
        <v>0.11700000000000001</v>
      </c>
      <c r="S30">
        <v>5.8000000000000003E-2</v>
      </c>
      <c r="T30">
        <v>0.104</v>
      </c>
      <c r="U30">
        <v>0.11899999999999999</v>
      </c>
      <c r="V30">
        <v>8.2000000000000003E-2</v>
      </c>
      <c r="W30">
        <v>6.9000000000000006E-2</v>
      </c>
      <c r="X30">
        <v>6.8000000000000005E-2</v>
      </c>
      <c r="Y30">
        <v>5.6000000000000001E-2</v>
      </c>
      <c r="Z30">
        <v>0.104</v>
      </c>
      <c r="AA30">
        <v>6.4000000000000001E-2</v>
      </c>
      <c r="AB30">
        <v>5.8000000000000003E-2</v>
      </c>
      <c r="AC30">
        <v>0.11899999999999999</v>
      </c>
      <c r="AD30">
        <v>0.107</v>
      </c>
      <c r="AE30">
        <v>4.4999999999999998E-2</v>
      </c>
      <c r="AF30">
        <v>9.0999999999999998E-2</v>
      </c>
      <c r="AG30">
        <v>7.4999999999999997E-2</v>
      </c>
      <c r="AH30">
        <v>0.17799999999999999</v>
      </c>
      <c r="AI30">
        <v>0.13600000000000001</v>
      </c>
      <c r="AJ30">
        <v>4.4999999999999998E-2</v>
      </c>
      <c r="AK30">
        <v>0.1</v>
      </c>
      <c r="AL30">
        <v>0.1073814171337651</v>
      </c>
      <c r="AM30">
        <v>0.11489886731374137</v>
      </c>
      <c r="AN30">
        <v>0.11283458320194999</v>
      </c>
      <c r="AO30">
        <f t="shared" ca="1" si="2"/>
        <v>0.11455040634682276</v>
      </c>
    </row>
    <row r="31" spans="1:41">
      <c r="A31" t="s">
        <v>90</v>
      </c>
      <c r="B31" s="1" t="s">
        <v>27</v>
      </c>
      <c r="F31">
        <f t="shared" si="0"/>
        <v>1.9E-2</v>
      </c>
      <c r="G31">
        <f t="shared" si="1"/>
        <v>1.2999999999999999E-2</v>
      </c>
      <c r="H31">
        <v>1.7000000000000001E-2</v>
      </c>
      <c r="I31">
        <v>1.7000000000000001E-2</v>
      </c>
      <c r="J31">
        <v>1.7000000000000001E-2</v>
      </c>
      <c r="K31">
        <v>1.6E-2</v>
      </c>
      <c r="L31">
        <v>1.4999999999999999E-2</v>
      </c>
      <c r="M31">
        <v>1.6E-2</v>
      </c>
      <c r="N31">
        <v>1.9E-2</v>
      </c>
      <c r="O31">
        <v>1.2999999999999999E-2</v>
      </c>
      <c r="P31">
        <v>1.7000000000000001E-2</v>
      </c>
      <c r="Q31">
        <v>1.4E-2</v>
      </c>
      <c r="R31">
        <v>1.6E-2</v>
      </c>
      <c r="S31">
        <v>1.4999999999999999E-2</v>
      </c>
      <c r="T31">
        <v>1.4999999999999999E-2</v>
      </c>
      <c r="U31">
        <v>1.7000000000000001E-2</v>
      </c>
      <c r="V31">
        <v>1.9E-2</v>
      </c>
      <c r="W31">
        <v>1.4E-2</v>
      </c>
      <c r="X31">
        <v>1.6E-2</v>
      </c>
      <c r="Y31">
        <v>1.7999999999999999E-2</v>
      </c>
      <c r="Z31">
        <v>1.6E-2</v>
      </c>
      <c r="AA31">
        <v>1.7999999999999999E-2</v>
      </c>
      <c r="AB31">
        <v>1.6E-2</v>
      </c>
      <c r="AC31">
        <v>1.4E-2</v>
      </c>
      <c r="AD31">
        <v>1.4E-2</v>
      </c>
      <c r="AE31">
        <v>1.4E-2</v>
      </c>
      <c r="AF31">
        <v>1.7000000000000001E-2</v>
      </c>
      <c r="AG31">
        <v>1.4999999999999999E-2</v>
      </c>
      <c r="AH31">
        <v>1.7000000000000001E-2</v>
      </c>
      <c r="AI31">
        <v>1.4999999999999999E-2</v>
      </c>
      <c r="AJ31">
        <v>1.7000000000000001E-2</v>
      </c>
      <c r="AK31">
        <v>1.4E-2</v>
      </c>
      <c r="AL31">
        <v>1.6960663306078511E-2</v>
      </c>
      <c r="AM31">
        <v>1.6050158352312136E-2</v>
      </c>
      <c r="AN31">
        <v>1.4388940777321614E-2</v>
      </c>
      <c r="AO31">
        <f t="shared" ca="1" si="2"/>
        <v>1.4677234002887479E-2</v>
      </c>
    </row>
    <row r="32" spans="1:41">
      <c r="A32" t="s">
        <v>90</v>
      </c>
      <c r="B32" s="1" t="s">
        <v>28</v>
      </c>
      <c r="F32">
        <f t="shared" si="0"/>
        <v>2E-3</v>
      </c>
      <c r="G32">
        <f t="shared" si="1"/>
        <v>1E-3</v>
      </c>
      <c r="H32">
        <v>1E-3</v>
      </c>
      <c r="I32">
        <v>2E-3</v>
      </c>
      <c r="J32">
        <v>1E-3</v>
      </c>
      <c r="K32">
        <v>2E-3</v>
      </c>
      <c r="L32">
        <v>2E-3</v>
      </c>
      <c r="M32">
        <v>2E-3</v>
      </c>
      <c r="N32">
        <v>1E-3</v>
      </c>
      <c r="O32">
        <v>1E-3</v>
      </c>
      <c r="P32">
        <v>2E-3</v>
      </c>
      <c r="Q32">
        <v>2E-3</v>
      </c>
      <c r="R32">
        <v>2E-3</v>
      </c>
      <c r="S32">
        <v>2E-3</v>
      </c>
      <c r="T32">
        <v>2E-3</v>
      </c>
      <c r="U32">
        <v>1E-3</v>
      </c>
      <c r="V32">
        <v>2E-3</v>
      </c>
      <c r="W32">
        <v>3.0000000000000001E-3</v>
      </c>
      <c r="X32">
        <v>3.0000000000000001E-3</v>
      </c>
      <c r="Y32">
        <v>4.0000000000000001E-3</v>
      </c>
      <c r="Z32">
        <v>2E-3</v>
      </c>
      <c r="AA32">
        <v>3.0000000000000001E-3</v>
      </c>
      <c r="AB32">
        <v>3.0000000000000001E-3</v>
      </c>
      <c r="AC32">
        <v>2E-3</v>
      </c>
      <c r="AD32">
        <v>2E-3</v>
      </c>
      <c r="AE32">
        <v>1E-3</v>
      </c>
      <c r="AF32">
        <v>1E-3</v>
      </c>
      <c r="AG32">
        <v>3.0000000000000001E-3</v>
      </c>
      <c r="AH32">
        <v>3.0000000000000001E-3</v>
      </c>
      <c r="AI32">
        <v>3.0000000000000001E-3</v>
      </c>
      <c r="AJ32">
        <v>1E-3</v>
      </c>
      <c r="AK32">
        <v>3.0000000000000001E-3</v>
      </c>
      <c r="AL32">
        <v>9.8925885802987265E-4</v>
      </c>
      <c r="AM32">
        <v>1.0172430452273437E-3</v>
      </c>
      <c r="AN32">
        <v>1.0399726185782651E-3</v>
      </c>
      <c r="AO32">
        <f t="shared" ca="1" si="2"/>
        <v>9.1706189019141965E-4</v>
      </c>
    </row>
    <row r="33" spans="1:41">
      <c r="A33" t="s">
        <v>90</v>
      </c>
      <c r="B33" s="1" t="s">
        <v>29</v>
      </c>
      <c r="F33">
        <f t="shared" si="0"/>
        <v>2.5999999999999999E-2</v>
      </c>
      <c r="G33">
        <f t="shared" si="1"/>
        <v>7.0000000000000001E-3</v>
      </c>
      <c r="H33">
        <v>7.0000000000000001E-3</v>
      </c>
      <c r="I33">
        <v>1.6E-2</v>
      </c>
      <c r="J33">
        <v>1.2E-2</v>
      </c>
      <c r="K33">
        <v>1.2E-2</v>
      </c>
      <c r="L33">
        <v>0.02</v>
      </c>
      <c r="M33">
        <v>1.4E-2</v>
      </c>
      <c r="N33">
        <v>1.4E-2</v>
      </c>
      <c r="O33">
        <v>1.2E-2</v>
      </c>
      <c r="P33">
        <v>1.6E-2</v>
      </c>
      <c r="Q33">
        <v>2.5999999999999999E-2</v>
      </c>
      <c r="R33">
        <v>2.1999999999999999E-2</v>
      </c>
      <c r="S33">
        <v>1.9E-2</v>
      </c>
      <c r="T33">
        <v>3.1E-2</v>
      </c>
      <c r="U33">
        <v>1.0999999999999999E-2</v>
      </c>
      <c r="V33">
        <v>1.7999999999999999E-2</v>
      </c>
      <c r="W33">
        <v>2.7E-2</v>
      </c>
      <c r="X33">
        <v>2.1000000000000001E-2</v>
      </c>
      <c r="Y33">
        <v>4.5999999999999999E-2</v>
      </c>
      <c r="Z33">
        <v>2.9000000000000001E-2</v>
      </c>
      <c r="AA33">
        <v>0.03</v>
      </c>
      <c r="AB33">
        <v>2.3E-2</v>
      </c>
      <c r="AC33">
        <v>2.7E-2</v>
      </c>
      <c r="AD33">
        <v>0.02</v>
      </c>
      <c r="AE33">
        <v>1.0999999999999999E-2</v>
      </c>
      <c r="AF33">
        <v>0.01</v>
      </c>
      <c r="AG33">
        <v>2.1999999999999999E-2</v>
      </c>
      <c r="AH33">
        <v>4.2999999999999997E-2</v>
      </c>
      <c r="AI33">
        <v>3.4000000000000002E-2</v>
      </c>
      <c r="AJ33">
        <v>1.4E-2</v>
      </c>
      <c r="AK33">
        <v>2.9000000000000001E-2</v>
      </c>
      <c r="AL33">
        <v>7.1358805876739076E-3</v>
      </c>
      <c r="AM33">
        <v>6.9294157749603472E-3</v>
      </c>
      <c r="AN33">
        <v>7.0972997898096609E-3</v>
      </c>
      <c r="AO33">
        <f t="shared" ca="1" si="2"/>
        <v>5.9034602239183154E-3</v>
      </c>
    </row>
    <row r="34" spans="1:41">
      <c r="A34" t="s">
        <v>84</v>
      </c>
      <c r="B34" s="1" t="s">
        <v>60</v>
      </c>
      <c r="C34">
        <v>0.48399999999999999</v>
      </c>
      <c r="D34">
        <v>0.48399999999999999</v>
      </c>
      <c r="E34">
        <v>0.48399999999999999</v>
      </c>
      <c r="F34">
        <f t="shared" si="0"/>
        <v>0.27389999999999998</v>
      </c>
      <c r="G34">
        <f t="shared" si="1"/>
        <v>0.27389999999999998</v>
      </c>
      <c r="H34">
        <v>0.27389999999999998</v>
      </c>
      <c r="I34">
        <v>0.27389999999999998</v>
      </c>
      <c r="J34">
        <v>0.27389999999999998</v>
      </c>
      <c r="K34">
        <v>0.27389999999999998</v>
      </c>
      <c r="L34">
        <v>0.27389999999999998</v>
      </c>
      <c r="M34">
        <v>0.27389999999999998</v>
      </c>
      <c r="N34">
        <v>0.27389999999999998</v>
      </c>
      <c r="O34">
        <v>0.27389999999999998</v>
      </c>
      <c r="P34">
        <v>0.27389999999999998</v>
      </c>
      <c r="Q34">
        <v>0.27389999999999998</v>
      </c>
      <c r="R34">
        <v>0.27389999999999998</v>
      </c>
      <c r="S34">
        <v>0.27389999999999998</v>
      </c>
      <c r="T34">
        <v>0.27389999999999998</v>
      </c>
      <c r="U34">
        <v>0.27389999999999998</v>
      </c>
      <c r="V34">
        <v>0.27389999999999998</v>
      </c>
      <c r="W34">
        <v>0.27389999999999998</v>
      </c>
      <c r="X34">
        <v>0.27389999999999998</v>
      </c>
      <c r="Y34">
        <v>0.27389999999999998</v>
      </c>
      <c r="Z34">
        <v>0.27389999999999998</v>
      </c>
      <c r="AA34">
        <v>0.27389999999999998</v>
      </c>
      <c r="AB34">
        <v>0.27389999999999998</v>
      </c>
      <c r="AC34">
        <v>0.27389999999999998</v>
      </c>
      <c r="AD34">
        <v>0.27389999999999998</v>
      </c>
      <c r="AE34">
        <v>0.27389999999999998</v>
      </c>
      <c r="AF34">
        <v>0.27389999999999998</v>
      </c>
      <c r="AG34">
        <v>0.27389999999999998</v>
      </c>
      <c r="AH34">
        <v>0.27389999999999998</v>
      </c>
      <c r="AI34">
        <v>0.27389999999999998</v>
      </c>
      <c r="AJ34">
        <v>0.27389999999999998</v>
      </c>
      <c r="AK34">
        <v>0.27389999999999998</v>
      </c>
      <c r="AL34">
        <v>0.27262193043752297</v>
      </c>
      <c r="AM34">
        <v>0.29762755531180607</v>
      </c>
      <c r="AN34">
        <v>0.25786255992364199</v>
      </c>
      <c r="AO34">
        <f t="shared" ca="1" si="2"/>
        <v>0.29691034500850022</v>
      </c>
    </row>
    <row r="35" spans="1:41">
      <c r="A35" t="s">
        <v>84</v>
      </c>
      <c r="B35" s="1" t="s">
        <v>61</v>
      </c>
      <c r="C35">
        <v>0.19400000000000001</v>
      </c>
      <c r="D35">
        <v>0.19400000000000001</v>
      </c>
      <c r="E35">
        <v>0.19400000000000001</v>
      </c>
      <c r="F35">
        <f t="shared" si="0"/>
        <v>3.1300000000000001E-2</v>
      </c>
      <c r="G35">
        <f t="shared" si="1"/>
        <v>3.1300000000000001E-2</v>
      </c>
      <c r="H35">
        <v>3.1300000000000001E-2</v>
      </c>
      <c r="I35">
        <v>3.1300000000000001E-2</v>
      </c>
      <c r="J35">
        <v>3.1300000000000001E-2</v>
      </c>
      <c r="K35">
        <v>3.1300000000000001E-2</v>
      </c>
      <c r="L35">
        <v>3.1300000000000001E-2</v>
      </c>
      <c r="M35">
        <v>3.1300000000000001E-2</v>
      </c>
      <c r="N35">
        <v>3.1300000000000001E-2</v>
      </c>
      <c r="O35">
        <v>3.1300000000000001E-2</v>
      </c>
      <c r="P35">
        <v>3.1300000000000001E-2</v>
      </c>
      <c r="Q35">
        <v>3.1300000000000001E-2</v>
      </c>
      <c r="R35">
        <v>3.1300000000000001E-2</v>
      </c>
      <c r="S35">
        <v>3.1300000000000001E-2</v>
      </c>
      <c r="T35">
        <v>3.1300000000000001E-2</v>
      </c>
      <c r="U35">
        <v>3.1300000000000001E-2</v>
      </c>
      <c r="V35">
        <v>3.1300000000000001E-2</v>
      </c>
      <c r="W35">
        <v>3.1300000000000001E-2</v>
      </c>
      <c r="X35">
        <v>3.1300000000000001E-2</v>
      </c>
      <c r="Y35">
        <v>3.1300000000000001E-2</v>
      </c>
      <c r="Z35">
        <v>3.1300000000000001E-2</v>
      </c>
      <c r="AA35">
        <v>3.1300000000000001E-2</v>
      </c>
      <c r="AB35">
        <v>3.1300000000000001E-2</v>
      </c>
      <c r="AC35">
        <v>3.1300000000000001E-2</v>
      </c>
      <c r="AD35">
        <v>3.1300000000000001E-2</v>
      </c>
      <c r="AE35">
        <v>3.1300000000000001E-2</v>
      </c>
      <c r="AF35">
        <v>3.1300000000000001E-2</v>
      </c>
      <c r="AG35">
        <v>3.1300000000000001E-2</v>
      </c>
      <c r="AH35">
        <v>3.1300000000000001E-2</v>
      </c>
      <c r="AI35">
        <v>3.1300000000000001E-2</v>
      </c>
      <c r="AJ35">
        <v>3.1300000000000001E-2</v>
      </c>
      <c r="AK35">
        <v>3.1300000000000001E-2</v>
      </c>
      <c r="AL35">
        <v>3.0763917935530224E-2</v>
      </c>
      <c r="AM35">
        <v>3.0349267736379911E-2</v>
      </c>
      <c r="AN35">
        <v>3.5541247645715264E-2</v>
      </c>
      <c r="AO35">
        <f t="shared" ca="1" si="2"/>
        <v>3.4945054973607996E-2</v>
      </c>
    </row>
    <row r="36" spans="1:41">
      <c r="A36" t="s">
        <v>77</v>
      </c>
      <c r="B36" s="1" t="s">
        <v>62</v>
      </c>
      <c r="C36">
        <v>5.5800000000000002E-2</v>
      </c>
      <c r="D36">
        <v>5.5800000000000002E-2</v>
      </c>
      <c r="E36">
        <v>5.5800000000000002E-2</v>
      </c>
      <c r="F36">
        <f t="shared" si="0"/>
        <v>5.5800000000000002E-2</v>
      </c>
      <c r="G36">
        <f t="shared" si="1"/>
        <v>5.5800000000000002E-2</v>
      </c>
      <c r="H36">
        <v>5.5800000000000002E-2</v>
      </c>
      <c r="I36">
        <v>5.5800000000000002E-2</v>
      </c>
      <c r="J36">
        <v>5.5800000000000002E-2</v>
      </c>
      <c r="K36">
        <v>5.5800000000000002E-2</v>
      </c>
      <c r="L36">
        <v>5.5800000000000002E-2</v>
      </c>
      <c r="M36">
        <v>5.5800000000000002E-2</v>
      </c>
      <c r="N36">
        <v>5.5800000000000002E-2</v>
      </c>
      <c r="O36">
        <v>5.5800000000000002E-2</v>
      </c>
      <c r="P36">
        <v>5.5800000000000002E-2</v>
      </c>
      <c r="Q36">
        <v>5.5800000000000002E-2</v>
      </c>
      <c r="R36">
        <v>5.5800000000000002E-2</v>
      </c>
      <c r="S36">
        <v>5.5800000000000002E-2</v>
      </c>
      <c r="T36">
        <v>5.5800000000000002E-2</v>
      </c>
      <c r="U36">
        <v>5.5800000000000002E-2</v>
      </c>
      <c r="V36">
        <v>5.5800000000000002E-2</v>
      </c>
      <c r="W36">
        <v>5.5800000000000002E-2</v>
      </c>
      <c r="X36">
        <v>5.5800000000000002E-2</v>
      </c>
      <c r="Y36">
        <v>5.5800000000000002E-2</v>
      </c>
      <c r="Z36">
        <v>5.5800000000000002E-2</v>
      </c>
      <c r="AA36">
        <v>5.5800000000000002E-2</v>
      </c>
      <c r="AB36">
        <v>5.5800000000000002E-2</v>
      </c>
      <c r="AC36">
        <v>5.5800000000000002E-2</v>
      </c>
      <c r="AD36">
        <v>5.5800000000000002E-2</v>
      </c>
      <c r="AE36">
        <v>5.5800000000000002E-2</v>
      </c>
      <c r="AF36">
        <v>5.5800000000000002E-2</v>
      </c>
      <c r="AG36">
        <v>5.5800000000000002E-2</v>
      </c>
      <c r="AH36">
        <v>5.5800000000000002E-2</v>
      </c>
      <c r="AI36">
        <v>5.5800000000000002E-2</v>
      </c>
      <c r="AJ36">
        <v>5.5800000000000002E-2</v>
      </c>
      <c r="AK36">
        <v>5.5800000000000002E-2</v>
      </c>
      <c r="AL36">
        <v>5.5410672229779197E-2</v>
      </c>
      <c r="AM36">
        <v>5.3963512877202739E-2</v>
      </c>
      <c r="AN36">
        <v>5.6546293150529059E-2</v>
      </c>
      <c r="AO36">
        <f t="shared" ca="1" si="2"/>
        <v>5.6626203378640494E-2</v>
      </c>
    </row>
    <row r="37" spans="1:41">
      <c r="A37" t="s">
        <v>77</v>
      </c>
      <c r="B37" s="1" t="s">
        <v>63</v>
      </c>
      <c r="C37">
        <v>0.9</v>
      </c>
      <c r="D37">
        <v>0.9</v>
      </c>
      <c r="E37">
        <v>0.9</v>
      </c>
      <c r="F37">
        <f t="shared" si="0"/>
        <v>0.9</v>
      </c>
      <c r="G37">
        <f t="shared" si="1"/>
        <v>0.9</v>
      </c>
      <c r="H37">
        <v>0.9</v>
      </c>
      <c r="I37">
        <v>0.9</v>
      </c>
      <c r="J37">
        <v>0.9</v>
      </c>
      <c r="K37">
        <v>0.9</v>
      </c>
      <c r="L37">
        <v>0.9</v>
      </c>
      <c r="M37">
        <v>0.9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0.9</v>
      </c>
      <c r="U37">
        <v>0.9</v>
      </c>
      <c r="V37">
        <v>0.9</v>
      </c>
      <c r="W37">
        <v>0.9</v>
      </c>
      <c r="X37">
        <v>0.9</v>
      </c>
      <c r="Y37">
        <v>0.9</v>
      </c>
      <c r="Z37">
        <v>0.9</v>
      </c>
      <c r="AA37">
        <v>0.9</v>
      </c>
      <c r="AB37">
        <v>0.9</v>
      </c>
      <c r="AC37">
        <v>0.9</v>
      </c>
      <c r="AD37">
        <v>0.9</v>
      </c>
      <c r="AE37">
        <v>0.9</v>
      </c>
      <c r="AF37">
        <v>0.9</v>
      </c>
      <c r="AG37">
        <v>0.9</v>
      </c>
      <c r="AH37">
        <v>0.9</v>
      </c>
      <c r="AI37">
        <v>0.9</v>
      </c>
      <c r="AJ37">
        <v>0.9</v>
      </c>
      <c r="AK37">
        <v>0.9</v>
      </c>
      <c r="AL37">
        <v>0.90405261341130194</v>
      </c>
      <c r="AM37">
        <v>0.89373432592501456</v>
      </c>
      <c r="AN37">
        <v>1.0270212080907435</v>
      </c>
      <c r="AO37">
        <f t="shared" ca="1" si="2"/>
        <v>0.80243815111606343</v>
      </c>
    </row>
    <row r="38" spans="1:41">
      <c r="A38" t="s">
        <v>79</v>
      </c>
      <c r="B38" s="1" t="s">
        <v>64</v>
      </c>
      <c r="C38">
        <v>6.1800000000000001E-2</v>
      </c>
      <c r="D38">
        <v>6.1800000000000001E-2</v>
      </c>
      <c r="E38">
        <v>6.1800000000000001E-2</v>
      </c>
      <c r="F38">
        <f t="shared" si="0"/>
        <v>6.1800000000000001E-2</v>
      </c>
      <c r="G38">
        <f t="shared" si="1"/>
        <v>6.1800000000000001E-2</v>
      </c>
      <c r="H38">
        <v>6.1800000000000001E-2</v>
      </c>
      <c r="I38">
        <v>6.1800000000000001E-2</v>
      </c>
      <c r="J38">
        <v>6.1800000000000001E-2</v>
      </c>
      <c r="K38">
        <v>6.1800000000000001E-2</v>
      </c>
      <c r="L38">
        <v>6.1800000000000001E-2</v>
      </c>
      <c r="M38">
        <v>6.1800000000000001E-2</v>
      </c>
      <c r="N38">
        <v>6.1800000000000001E-2</v>
      </c>
      <c r="O38">
        <v>6.1800000000000001E-2</v>
      </c>
      <c r="P38">
        <v>6.1800000000000001E-2</v>
      </c>
      <c r="Q38">
        <v>6.1800000000000001E-2</v>
      </c>
      <c r="R38">
        <v>6.1800000000000001E-2</v>
      </c>
      <c r="S38">
        <v>6.1800000000000001E-2</v>
      </c>
      <c r="T38">
        <v>6.1800000000000001E-2</v>
      </c>
      <c r="U38">
        <v>6.1800000000000001E-2</v>
      </c>
      <c r="V38">
        <v>6.1800000000000001E-2</v>
      </c>
      <c r="W38">
        <v>6.1800000000000001E-2</v>
      </c>
      <c r="X38">
        <v>6.1800000000000001E-2</v>
      </c>
      <c r="Y38">
        <v>6.1800000000000001E-2</v>
      </c>
      <c r="Z38">
        <v>6.1800000000000001E-2</v>
      </c>
      <c r="AA38">
        <v>6.1800000000000001E-2</v>
      </c>
      <c r="AB38">
        <v>6.1800000000000001E-2</v>
      </c>
      <c r="AC38">
        <v>6.1800000000000001E-2</v>
      </c>
      <c r="AD38">
        <v>6.1800000000000001E-2</v>
      </c>
      <c r="AE38">
        <v>6.1800000000000001E-2</v>
      </c>
      <c r="AF38">
        <v>6.1800000000000001E-2</v>
      </c>
      <c r="AG38">
        <v>6.1800000000000001E-2</v>
      </c>
      <c r="AH38">
        <v>6.1800000000000001E-2</v>
      </c>
      <c r="AI38">
        <v>6.1800000000000001E-2</v>
      </c>
      <c r="AJ38">
        <v>6.1800000000000001E-2</v>
      </c>
      <c r="AK38">
        <v>6.1800000000000001E-2</v>
      </c>
      <c r="AL38">
        <v>6.040720872681403E-2</v>
      </c>
      <c r="AM38">
        <v>5.5912082843227212E-2</v>
      </c>
      <c r="AN38">
        <v>6.7162908202059779E-2</v>
      </c>
      <c r="AO38">
        <f t="shared" ca="1" si="2"/>
        <v>5.567389930157321E-2</v>
      </c>
    </row>
    <row r="39" spans="1:41">
      <c r="A39" t="s">
        <v>93</v>
      </c>
      <c r="B39" s="1" t="s">
        <v>65</v>
      </c>
      <c r="C39">
        <v>1</v>
      </c>
      <c r="D39">
        <v>1</v>
      </c>
      <c r="E39">
        <v>1</v>
      </c>
      <c r="F39">
        <f t="shared" si="0"/>
        <v>1</v>
      </c>
      <c r="G39">
        <f t="shared" si="1"/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1.0098575634979232</v>
      </c>
      <c r="AM39">
        <v>1.0641269482528957</v>
      </c>
      <c r="AN39">
        <v>0.9486707205286864</v>
      </c>
      <c r="AO39">
        <f t="shared" ca="1" si="2"/>
        <v>1.114843974735767</v>
      </c>
    </row>
    <row r="40" spans="1:41">
      <c r="A40" t="s">
        <v>94</v>
      </c>
      <c r="B40" s="1" t="s">
        <v>101</v>
      </c>
      <c r="C40">
        <v>312.5</v>
      </c>
      <c r="D40">
        <v>312.5</v>
      </c>
      <c r="E40">
        <v>312.5</v>
      </c>
      <c r="F40">
        <f t="shared" si="0"/>
        <v>312.5</v>
      </c>
      <c r="G40">
        <f t="shared" si="1"/>
        <v>312.5</v>
      </c>
      <c r="H40">
        <v>312.5</v>
      </c>
      <c r="I40">
        <v>312.5</v>
      </c>
      <c r="J40">
        <v>312.5</v>
      </c>
      <c r="K40">
        <v>312.5</v>
      </c>
      <c r="L40">
        <v>312.5</v>
      </c>
      <c r="M40">
        <v>312.5</v>
      </c>
      <c r="N40">
        <v>312.5</v>
      </c>
      <c r="O40">
        <v>312.5</v>
      </c>
      <c r="P40">
        <v>312.5</v>
      </c>
      <c r="Q40">
        <v>312.5</v>
      </c>
      <c r="R40">
        <v>312.5</v>
      </c>
      <c r="S40">
        <v>312.5</v>
      </c>
      <c r="T40">
        <v>312.5</v>
      </c>
      <c r="U40">
        <v>312.5</v>
      </c>
      <c r="V40">
        <v>312.5</v>
      </c>
      <c r="W40">
        <v>312.5</v>
      </c>
      <c r="X40">
        <v>312.5</v>
      </c>
      <c r="Y40">
        <v>312.5</v>
      </c>
      <c r="Z40">
        <v>312.5</v>
      </c>
      <c r="AA40">
        <v>312.5</v>
      </c>
      <c r="AB40">
        <v>312.5</v>
      </c>
      <c r="AC40">
        <v>312.5</v>
      </c>
      <c r="AD40">
        <v>312.5</v>
      </c>
      <c r="AE40">
        <v>312.5</v>
      </c>
      <c r="AF40">
        <v>312.5</v>
      </c>
      <c r="AG40">
        <v>312.5</v>
      </c>
      <c r="AH40">
        <v>312.5</v>
      </c>
      <c r="AI40">
        <v>312.5</v>
      </c>
      <c r="AJ40">
        <v>312.5</v>
      </c>
      <c r="AK40">
        <v>312.5</v>
      </c>
      <c r="AL40">
        <v>312.05010512891585</v>
      </c>
      <c r="AM40">
        <v>304.06228463012235</v>
      </c>
      <c r="AN40">
        <v>324.62730499322601</v>
      </c>
      <c r="AO40">
        <f t="shared" ca="1" si="2"/>
        <v>271.1596545788928</v>
      </c>
    </row>
    <row r="41" spans="1:41">
      <c r="A41" t="s">
        <v>94</v>
      </c>
      <c r="B41" s="1" t="s">
        <v>102</v>
      </c>
      <c r="C41">
        <v>321</v>
      </c>
      <c r="D41">
        <v>321</v>
      </c>
      <c r="E41">
        <v>321</v>
      </c>
      <c r="F41">
        <f t="shared" si="0"/>
        <v>321</v>
      </c>
      <c r="G41">
        <f t="shared" si="1"/>
        <v>321</v>
      </c>
      <c r="H41">
        <v>321</v>
      </c>
      <c r="I41">
        <v>321</v>
      </c>
      <c r="J41">
        <v>321</v>
      </c>
      <c r="K41">
        <v>321</v>
      </c>
      <c r="L41">
        <v>321</v>
      </c>
      <c r="M41">
        <v>321</v>
      </c>
      <c r="N41">
        <v>321</v>
      </c>
      <c r="O41">
        <v>321</v>
      </c>
      <c r="P41">
        <v>321</v>
      </c>
      <c r="Q41">
        <v>321</v>
      </c>
      <c r="R41">
        <v>321</v>
      </c>
      <c r="S41">
        <v>321</v>
      </c>
      <c r="T41">
        <v>321</v>
      </c>
      <c r="U41">
        <v>321</v>
      </c>
      <c r="V41">
        <v>321</v>
      </c>
      <c r="W41">
        <v>321</v>
      </c>
      <c r="X41">
        <v>321</v>
      </c>
      <c r="Y41">
        <v>321</v>
      </c>
      <c r="Z41">
        <v>321</v>
      </c>
      <c r="AA41">
        <v>321</v>
      </c>
      <c r="AB41">
        <v>321</v>
      </c>
      <c r="AC41">
        <v>321</v>
      </c>
      <c r="AD41">
        <v>321</v>
      </c>
      <c r="AE41">
        <v>321</v>
      </c>
      <c r="AF41">
        <v>321</v>
      </c>
      <c r="AG41">
        <v>321</v>
      </c>
      <c r="AH41">
        <v>321</v>
      </c>
      <c r="AI41">
        <v>321</v>
      </c>
      <c r="AJ41">
        <v>321</v>
      </c>
      <c r="AK41">
        <v>321</v>
      </c>
      <c r="AL41">
        <v>318.66682463812583</v>
      </c>
      <c r="AM41">
        <v>306.34075512869447</v>
      </c>
      <c r="AN41">
        <v>249.24102571432246</v>
      </c>
      <c r="AO41">
        <f t="shared" ca="1" si="2"/>
        <v>322.74388849889164</v>
      </c>
    </row>
    <row r="42" spans="1:41">
      <c r="A42" t="s">
        <v>94</v>
      </c>
      <c r="B42" s="1" t="s">
        <v>103</v>
      </c>
      <c r="C42">
        <v>180</v>
      </c>
      <c r="D42">
        <v>180</v>
      </c>
      <c r="E42">
        <v>180</v>
      </c>
      <c r="F42">
        <f t="shared" si="0"/>
        <v>180</v>
      </c>
      <c r="G42">
        <f t="shared" si="1"/>
        <v>180</v>
      </c>
      <c r="H42">
        <v>180</v>
      </c>
      <c r="I42">
        <v>180</v>
      </c>
      <c r="J42">
        <v>180</v>
      </c>
      <c r="K42">
        <v>180</v>
      </c>
      <c r="L42">
        <v>180</v>
      </c>
      <c r="M42">
        <v>180</v>
      </c>
      <c r="N42">
        <v>180</v>
      </c>
      <c r="O42">
        <v>180</v>
      </c>
      <c r="P42">
        <v>180</v>
      </c>
      <c r="Q42">
        <v>180</v>
      </c>
      <c r="R42">
        <v>180</v>
      </c>
      <c r="S42">
        <v>180</v>
      </c>
      <c r="T42">
        <v>180</v>
      </c>
      <c r="U42">
        <v>180</v>
      </c>
      <c r="V42">
        <v>180</v>
      </c>
      <c r="W42">
        <v>180</v>
      </c>
      <c r="X42">
        <v>180</v>
      </c>
      <c r="Y42">
        <v>180</v>
      </c>
      <c r="Z42">
        <v>180</v>
      </c>
      <c r="AA42">
        <v>180</v>
      </c>
      <c r="AB42">
        <v>180</v>
      </c>
      <c r="AC42">
        <v>180</v>
      </c>
      <c r="AD42">
        <v>180</v>
      </c>
      <c r="AE42">
        <v>180</v>
      </c>
      <c r="AF42">
        <v>180</v>
      </c>
      <c r="AG42">
        <v>180</v>
      </c>
      <c r="AH42">
        <v>180</v>
      </c>
      <c r="AI42">
        <v>180</v>
      </c>
      <c r="AJ42">
        <v>180</v>
      </c>
      <c r="AK42">
        <v>180</v>
      </c>
      <c r="AL42">
        <v>179.10909744371065</v>
      </c>
      <c r="AM42">
        <v>177.80382624111587</v>
      </c>
      <c r="AN42">
        <v>195.80869378734039</v>
      </c>
      <c r="AO42">
        <f t="shared" ca="1" si="2"/>
        <v>218.00147875371442</v>
      </c>
    </row>
    <row r="43" spans="1:41">
      <c r="A43" t="s">
        <v>84</v>
      </c>
      <c r="B43" s="1" t="s">
        <v>68</v>
      </c>
      <c r="C43">
        <v>0.6</v>
      </c>
      <c r="D43">
        <v>0.6</v>
      </c>
      <c r="E43">
        <v>0.6</v>
      </c>
      <c r="F43">
        <v>0.6</v>
      </c>
      <c r="G43">
        <v>0.6</v>
      </c>
      <c r="H43">
        <v>0.6</v>
      </c>
      <c r="I43">
        <v>0.6</v>
      </c>
      <c r="J43">
        <v>0.6</v>
      </c>
      <c r="K43">
        <v>0.6</v>
      </c>
      <c r="L43">
        <v>0.6</v>
      </c>
      <c r="M43">
        <v>0.6</v>
      </c>
      <c r="N43">
        <v>0.6</v>
      </c>
      <c r="O43">
        <v>0.6</v>
      </c>
      <c r="P43">
        <v>0.6</v>
      </c>
      <c r="Q43">
        <v>0.6</v>
      </c>
      <c r="R43">
        <v>0.6</v>
      </c>
      <c r="S43">
        <v>0.6</v>
      </c>
      <c r="T43">
        <v>0.6</v>
      </c>
      <c r="U43">
        <v>0.6</v>
      </c>
      <c r="V43">
        <v>0.6</v>
      </c>
      <c r="W43">
        <v>0.6</v>
      </c>
      <c r="X43">
        <v>0.6</v>
      </c>
      <c r="Y43">
        <v>0.6</v>
      </c>
      <c r="Z43">
        <v>0.6</v>
      </c>
      <c r="AA43">
        <v>0.6</v>
      </c>
      <c r="AB43">
        <v>0.6</v>
      </c>
      <c r="AC43">
        <v>0.6</v>
      </c>
      <c r="AD43">
        <v>0.6</v>
      </c>
      <c r="AE43">
        <v>0.6</v>
      </c>
      <c r="AF43">
        <v>0.6</v>
      </c>
      <c r="AG43">
        <v>0.6</v>
      </c>
      <c r="AH43">
        <v>0.6</v>
      </c>
      <c r="AI43">
        <v>0.6</v>
      </c>
      <c r="AJ43">
        <v>0.6</v>
      </c>
      <c r="AK43">
        <v>0.6</v>
      </c>
      <c r="AL43">
        <v>0.5935540153955905</v>
      </c>
      <c r="AM43">
        <v>0.60294391570570316</v>
      </c>
      <c r="AN43">
        <v>0.6647735823410903</v>
      </c>
      <c r="AO43">
        <f t="shared" ca="1" si="2"/>
        <v>0.64859661095782262</v>
      </c>
    </row>
    <row r="44" spans="1:41">
      <c r="A44" t="s">
        <v>94</v>
      </c>
      <c r="B44" s="1" t="s">
        <v>69</v>
      </c>
      <c r="C44">
        <v>1.2</v>
      </c>
      <c r="D44">
        <v>1.2</v>
      </c>
      <c r="E44">
        <v>1.2</v>
      </c>
      <c r="F44">
        <f t="shared" si="0"/>
        <v>1.2</v>
      </c>
      <c r="G44">
        <f t="shared" si="1"/>
        <v>1.2</v>
      </c>
      <c r="H44">
        <v>1.2</v>
      </c>
      <c r="I44">
        <v>1.2</v>
      </c>
      <c r="J44">
        <v>1.2</v>
      </c>
      <c r="K44">
        <v>1.2</v>
      </c>
      <c r="L44">
        <v>1.2</v>
      </c>
      <c r="M44">
        <v>1.2</v>
      </c>
      <c r="N44">
        <v>1.2</v>
      </c>
      <c r="O44">
        <v>1.2</v>
      </c>
      <c r="P44">
        <v>1.2</v>
      </c>
      <c r="Q44">
        <v>1.2</v>
      </c>
      <c r="R44">
        <v>1.2</v>
      </c>
      <c r="S44">
        <v>1.2</v>
      </c>
      <c r="T44">
        <v>1.2</v>
      </c>
      <c r="U44">
        <v>1.2</v>
      </c>
      <c r="V44">
        <v>1.2</v>
      </c>
      <c r="W44">
        <v>1.2</v>
      </c>
      <c r="X44">
        <v>1.2</v>
      </c>
      <c r="Y44">
        <v>1.2</v>
      </c>
      <c r="Z44">
        <v>1.2</v>
      </c>
      <c r="AA44">
        <v>1.2</v>
      </c>
      <c r="AB44">
        <v>1.2</v>
      </c>
      <c r="AC44">
        <v>1.2</v>
      </c>
      <c r="AD44">
        <v>1.2</v>
      </c>
      <c r="AE44">
        <v>1.2</v>
      </c>
      <c r="AF44">
        <v>1.2</v>
      </c>
      <c r="AG44">
        <v>1.2</v>
      </c>
      <c r="AH44">
        <v>1.2</v>
      </c>
      <c r="AI44">
        <v>1.2</v>
      </c>
      <c r="AJ44">
        <v>1.2</v>
      </c>
      <c r="AK44">
        <v>1.2</v>
      </c>
      <c r="AL44">
        <v>1.2222588591893855</v>
      </c>
      <c r="AM44">
        <v>1.1904638525152869</v>
      </c>
      <c r="AN44">
        <v>1.1263358357397872</v>
      </c>
      <c r="AO44">
        <f t="shared" ca="1" si="2"/>
        <v>1.1305232787210666</v>
      </c>
    </row>
    <row r="45" spans="1:41">
      <c r="A45" t="s">
        <v>94</v>
      </c>
      <c r="B45" s="1" t="s">
        <v>70</v>
      </c>
      <c r="C45">
        <v>7.3300000000000004E-2</v>
      </c>
      <c r="D45">
        <v>7.3300000000000004E-2</v>
      </c>
      <c r="E45">
        <v>7.3300000000000004E-2</v>
      </c>
      <c r="F45">
        <f t="shared" si="0"/>
        <v>7.3300000000000004E-2</v>
      </c>
      <c r="G45">
        <f t="shared" si="1"/>
        <v>7.3300000000000004E-2</v>
      </c>
      <c r="H45">
        <v>7.3300000000000004E-2</v>
      </c>
      <c r="I45">
        <v>7.3300000000000004E-2</v>
      </c>
      <c r="J45">
        <v>7.3300000000000004E-2</v>
      </c>
      <c r="K45">
        <v>7.3300000000000004E-2</v>
      </c>
      <c r="L45">
        <v>7.3300000000000004E-2</v>
      </c>
      <c r="M45">
        <v>7.3300000000000004E-2</v>
      </c>
      <c r="N45">
        <v>7.3300000000000004E-2</v>
      </c>
      <c r="O45">
        <v>7.3300000000000004E-2</v>
      </c>
      <c r="P45">
        <v>7.3300000000000004E-2</v>
      </c>
      <c r="Q45">
        <v>7.3300000000000004E-2</v>
      </c>
      <c r="R45">
        <v>7.3300000000000004E-2</v>
      </c>
      <c r="S45">
        <v>7.3300000000000004E-2</v>
      </c>
      <c r="T45">
        <v>7.3300000000000004E-2</v>
      </c>
      <c r="U45">
        <v>7.3300000000000004E-2</v>
      </c>
      <c r="V45">
        <v>7.3300000000000004E-2</v>
      </c>
      <c r="W45">
        <v>7.3300000000000004E-2</v>
      </c>
      <c r="X45">
        <v>7.3300000000000004E-2</v>
      </c>
      <c r="Y45">
        <v>7.3300000000000004E-2</v>
      </c>
      <c r="Z45">
        <v>7.3300000000000004E-2</v>
      </c>
      <c r="AA45">
        <v>7.3300000000000004E-2</v>
      </c>
      <c r="AB45">
        <v>7.3300000000000004E-2</v>
      </c>
      <c r="AC45">
        <v>7.3300000000000004E-2</v>
      </c>
      <c r="AD45">
        <v>7.3300000000000004E-2</v>
      </c>
      <c r="AE45">
        <v>7.3300000000000004E-2</v>
      </c>
      <c r="AF45">
        <v>7.3300000000000004E-2</v>
      </c>
      <c r="AG45">
        <v>7.3300000000000004E-2</v>
      </c>
      <c r="AH45">
        <v>7.3300000000000004E-2</v>
      </c>
      <c r="AI45">
        <v>7.3300000000000004E-2</v>
      </c>
      <c r="AJ45">
        <v>7.3300000000000004E-2</v>
      </c>
      <c r="AK45">
        <v>7.3300000000000004E-2</v>
      </c>
      <c r="AL45">
        <v>7.2719894806229632E-2</v>
      </c>
      <c r="AM45">
        <v>6.950257480336075E-2</v>
      </c>
      <c r="AN45">
        <v>7.0259855860225859E-2</v>
      </c>
      <c r="AO45">
        <f t="shared" ca="1" si="2"/>
        <v>6.4434557170647458E-2</v>
      </c>
    </row>
    <row r="46" spans="1:41">
      <c r="A46" t="s">
        <v>71</v>
      </c>
      <c r="B46" s="1" t="s">
        <v>72</v>
      </c>
      <c r="C46">
        <v>0</v>
      </c>
      <c r="D46">
        <v>0</v>
      </c>
      <c r="E46">
        <v>0</v>
      </c>
      <c r="F46">
        <f t="shared" si="0"/>
        <v>0</v>
      </c>
      <c r="G46">
        <f t="shared" si="1"/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f t="shared" ca="1" si="2"/>
        <v>0</v>
      </c>
    </row>
    <row r="47" spans="1:41">
      <c r="A47" t="s">
        <v>73</v>
      </c>
      <c r="B47" s="1" t="s">
        <v>74</v>
      </c>
      <c r="C47">
        <v>6000</v>
      </c>
      <c r="D47">
        <v>6000</v>
      </c>
      <c r="E47">
        <v>6000</v>
      </c>
      <c r="F47">
        <f t="shared" si="0"/>
        <v>6000</v>
      </c>
      <c r="G47">
        <f t="shared" si="1"/>
        <v>6000</v>
      </c>
      <c r="H47">
        <v>6000</v>
      </c>
      <c r="I47">
        <v>6000</v>
      </c>
      <c r="J47">
        <v>6000</v>
      </c>
      <c r="K47">
        <v>6000</v>
      </c>
      <c r="L47">
        <v>6000</v>
      </c>
      <c r="M47">
        <v>6000</v>
      </c>
      <c r="N47">
        <v>6000</v>
      </c>
      <c r="O47">
        <v>6000</v>
      </c>
      <c r="P47">
        <v>6000</v>
      </c>
      <c r="Q47">
        <v>6000</v>
      </c>
      <c r="R47">
        <v>6000</v>
      </c>
      <c r="S47">
        <v>6000</v>
      </c>
      <c r="T47">
        <v>6000</v>
      </c>
      <c r="U47">
        <v>6000</v>
      </c>
      <c r="V47">
        <v>6000</v>
      </c>
      <c r="W47">
        <v>6000</v>
      </c>
      <c r="X47">
        <v>6000</v>
      </c>
      <c r="Y47">
        <v>6000</v>
      </c>
      <c r="Z47">
        <v>6000</v>
      </c>
      <c r="AA47">
        <v>6000</v>
      </c>
      <c r="AB47">
        <v>6000</v>
      </c>
      <c r="AC47">
        <v>6000</v>
      </c>
      <c r="AD47">
        <v>6000</v>
      </c>
      <c r="AE47">
        <v>6000</v>
      </c>
      <c r="AF47">
        <v>6000</v>
      </c>
      <c r="AG47">
        <v>6000</v>
      </c>
      <c r="AH47">
        <v>6000</v>
      </c>
      <c r="AI47">
        <v>6000</v>
      </c>
      <c r="AJ47">
        <v>6000</v>
      </c>
      <c r="AK47">
        <v>6000</v>
      </c>
      <c r="AL47">
        <v>5963.7849958242095</v>
      </c>
      <c r="AM47">
        <v>6292.5762773792449</v>
      </c>
      <c r="AN47">
        <v>5383.4974828175709</v>
      </c>
      <c r="AO47">
        <f t="shared" ca="1" si="2"/>
        <v>5790.2167369791641</v>
      </c>
    </row>
    <row r="48" spans="1:41">
      <c r="A48" t="s">
        <v>75</v>
      </c>
      <c r="B48" s="1" t="s">
        <v>66</v>
      </c>
      <c r="C48">
        <v>5.0000000000000001E-4</v>
      </c>
      <c r="D48">
        <v>5.0000000000000001E-4</v>
      </c>
      <c r="E48">
        <v>5.0000000000000001E-4</v>
      </c>
      <c r="F48">
        <f t="shared" si="0"/>
        <v>5.0000000000000001E-4</v>
      </c>
      <c r="G48">
        <f t="shared" si="1"/>
        <v>5.0000000000000001E-4</v>
      </c>
      <c r="H48">
        <v>5.0000000000000001E-4</v>
      </c>
      <c r="I48">
        <v>5.0000000000000001E-4</v>
      </c>
      <c r="J48">
        <v>5.0000000000000001E-4</v>
      </c>
      <c r="K48">
        <v>5.0000000000000001E-4</v>
      </c>
      <c r="L48">
        <v>5.0000000000000001E-4</v>
      </c>
      <c r="M48">
        <v>5.0000000000000001E-4</v>
      </c>
      <c r="N48">
        <v>5.0000000000000001E-4</v>
      </c>
      <c r="O48">
        <v>5.0000000000000001E-4</v>
      </c>
      <c r="P48">
        <v>5.0000000000000001E-4</v>
      </c>
      <c r="Q48">
        <v>5.0000000000000001E-4</v>
      </c>
      <c r="R48">
        <v>5.0000000000000001E-4</v>
      </c>
      <c r="S48">
        <v>5.0000000000000001E-4</v>
      </c>
      <c r="T48">
        <v>5.0000000000000001E-4</v>
      </c>
      <c r="U48">
        <v>5.0000000000000001E-4</v>
      </c>
      <c r="V48">
        <v>5.0000000000000001E-4</v>
      </c>
      <c r="W48">
        <v>5.0000000000000001E-4</v>
      </c>
      <c r="X48">
        <v>5.0000000000000001E-4</v>
      </c>
      <c r="Y48">
        <v>5.0000000000000001E-4</v>
      </c>
      <c r="Z48">
        <v>5.0000000000000001E-4</v>
      </c>
      <c r="AA48">
        <v>5.0000000000000001E-4</v>
      </c>
      <c r="AB48">
        <v>5.0000000000000001E-4</v>
      </c>
      <c r="AC48">
        <v>5.0000000000000001E-4</v>
      </c>
      <c r="AD48">
        <v>5.0000000000000001E-4</v>
      </c>
      <c r="AE48">
        <v>5.0000000000000001E-4</v>
      </c>
      <c r="AF48">
        <v>5.0000000000000001E-4</v>
      </c>
      <c r="AG48">
        <v>5.0000000000000001E-4</v>
      </c>
      <c r="AH48">
        <v>5.0000000000000001E-4</v>
      </c>
      <c r="AI48">
        <v>5.0000000000000001E-4</v>
      </c>
      <c r="AJ48">
        <v>5.0000000000000001E-4</v>
      </c>
      <c r="AK48">
        <v>5.0000000000000001E-4</v>
      </c>
      <c r="AL48">
        <v>4.9658825366508813E-4</v>
      </c>
      <c r="AM48">
        <v>4.7458348029092042E-4</v>
      </c>
      <c r="AN48">
        <v>5.1097151485278392E-4</v>
      </c>
      <c r="AO48">
        <f t="shared" ca="1" si="2"/>
        <v>5.389341997497722E-4</v>
      </c>
    </row>
    <row r="49" spans="1:41">
      <c r="A49" t="s">
        <v>75</v>
      </c>
      <c r="B49" s="1" t="s">
        <v>67</v>
      </c>
      <c r="C49">
        <v>339</v>
      </c>
      <c r="D49">
        <v>339</v>
      </c>
      <c r="E49">
        <v>339</v>
      </c>
      <c r="F49">
        <f t="shared" si="0"/>
        <v>339</v>
      </c>
      <c r="G49">
        <f t="shared" si="1"/>
        <v>339</v>
      </c>
      <c r="H49">
        <v>339</v>
      </c>
      <c r="I49">
        <v>339</v>
      </c>
      <c r="J49">
        <v>339</v>
      </c>
      <c r="K49">
        <v>339</v>
      </c>
      <c r="L49">
        <v>339</v>
      </c>
      <c r="M49">
        <v>339</v>
      </c>
      <c r="N49">
        <v>339</v>
      </c>
      <c r="O49">
        <v>339</v>
      </c>
      <c r="P49">
        <v>339</v>
      </c>
      <c r="Q49">
        <v>339</v>
      </c>
      <c r="R49">
        <v>339</v>
      </c>
      <c r="S49">
        <v>339</v>
      </c>
      <c r="T49">
        <v>339</v>
      </c>
      <c r="U49">
        <v>339</v>
      </c>
      <c r="V49">
        <v>339</v>
      </c>
      <c r="W49">
        <v>339</v>
      </c>
      <c r="X49">
        <v>339</v>
      </c>
      <c r="Y49">
        <v>339</v>
      </c>
      <c r="Z49">
        <v>339</v>
      </c>
      <c r="AA49">
        <v>339</v>
      </c>
      <c r="AB49">
        <v>339</v>
      </c>
      <c r="AC49">
        <v>339</v>
      </c>
      <c r="AD49">
        <v>339</v>
      </c>
      <c r="AE49">
        <v>339</v>
      </c>
      <c r="AF49">
        <v>339</v>
      </c>
      <c r="AG49">
        <v>339</v>
      </c>
      <c r="AH49">
        <v>339</v>
      </c>
      <c r="AI49">
        <v>339</v>
      </c>
      <c r="AJ49">
        <v>339</v>
      </c>
      <c r="AK49">
        <v>339</v>
      </c>
      <c r="AL49">
        <v>340.43834700100854</v>
      </c>
      <c r="AM49">
        <v>359.67446563790327</v>
      </c>
      <c r="AN49">
        <v>284.7036410012243</v>
      </c>
      <c r="AO49">
        <f t="shared" ca="1" si="2"/>
        <v>420.29672778718049</v>
      </c>
    </row>
    <row r="50" spans="1:41">
      <c r="A50" t="s">
        <v>105</v>
      </c>
      <c r="B50" s="1" t="s">
        <v>104</v>
      </c>
      <c r="C50">
        <v>0.64710000000000001</v>
      </c>
      <c r="D50">
        <v>0.64710000000000001</v>
      </c>
      <c r="E50">
        <v>0.64710000000000001</v>
      </c>
    </row>
    <row r="51" spans="1:41">
      <c r="A51" t="s">
        <v>81</v>
      </c>
      <c r="B51" s="1" t="s">
        <v>107</v>
      </c>
      <c r="C51">
        <v>2.5</v>
      </c>
      <c r="D51">
        <v>2.5</v>
      </c>
      <c r="E51">
        <v>2.5</v>
      </c>
    </row>
    <row r="52" spans="1:41">
      <c r="A52" t="s">
        <v>115</v>
      </c>
      <c r="B52" s="1" t="s">
        <v>109</v>
      </c>
      <c r="C52">
        <v>1.5810999999999999</v>
      </c>
      <c r="D52">
        <v>1.5810999999999999</v>
      </c>
      <c r="E52">
        <v>1.5810999999999999</v>
      </c>
    </row>
    <row r="53" spans="1:41">
      <c r="A53" t="s">
        <v>108</v>
      </c>
      <c r="B53" s="1" t="s">
        <v>110</v>
      </c>
      <c r="C53">
        <v>2.2999999999999998</v>
      </c>
      <c r="D53">
        <v>2.2999999999999998</v>
      </c>
      <c r="E53">
        <v>2.2999999999999998</v>
      </c>
    </row>
    <row r="54" spans="1:41">
      <c r="B54" s="1" t="s">
        <v>111</v>
      </c>
      <c r="C54">
        <v>0.05</v>
      </c>
      <c r="D54">
        <v>0.05</v>
      </c>
      <c r="E54">
        <v>0.05</v>
      </c>
    </row>
    <row r="55" spans="1:41">
      <c r="B55" s="1" t="s">
        <v>112</v>
      </c>
      <c r="C55">
        <v>0.11</v>
      </c>
      <c r="D55">
        <v>0.08</v>
      </c>
      <c r="E55">
        <v>0.08</v>
      </c>
    </row>
    <row r="56" spans="1:41">
      <c r="B56" s="1" t="s">
        <v>113</v>
      </c>
      <c r="C56">
        <v>0.5</v>
      </c>
      <c r="D56">
        <v>0.5</v>
      </c>
      <c r="E56">
        <v>0.5</v>
      </c>
    </row>
    <row r="57" spans="1:41">
      <c r="B57" s="2" t="s">
        <v>114</v>
      </c>
      <c r="C57">
        <v>91.49</v>
      </c>
      <c r="D57">
        <v>151.30000000000001</v>
      </c>
      <c r="E57">
        <v>154.4</v>
      </c>
    </row>
    <row r="58" spans="1:41">
      <c r="B58" s="1" t="s">
        <v>116</v>
      </c>
      <c r="C58">
        <v>3.1621999999999999</v>
      </c>
      <c r="D58">
        <v>3.1621999999999999</v>
      </c>
      <c r="E58">
        <v>3.1621999999999999</v>
      </c>
      <c r="AO58" t="s">
        <v>98</v>
      </c>
    </row>
    <row r="59" spans="1:41">
      <c r="A59" t="s">
        <v>120</v>
      </c>
      <c r="B59" s="1" t="s">
        <v>119</v>
      </c>
      <c r="H59">
        <v>6.4999999999999997E-3</v>
      </c>
      <c r="I59">
        <v>8.8999999999999999E-3</v>
      </c>
      <c r="J59">
        <v>1.17E-2</v>
      </c>
      <c r="K59">
        <v>8.3999999999999995E-3</v>
      </c>
      <c r="L59">
        <v>9.7000000000000003E-3</v>
      </c>
      <c r="M59">
        <v>6.7000000000000002E-3</v>
      </c>
      <c r="N59">
        <v>8.6999999999999994E-3</v>
      </c>
      <c r="O59">
        <v>8.6E-3</v>
      </c>
      <c r="P59">
        <v>6.6E-3</v>
      </c>
      <c r="Q59">
        <v>1.1599999999999999E-2</v>
      </c>
      <c r="R59">
        <v>1.2E-2</v>
      </c>
      <c r="S59">
        <v>8.2000000000000007E-3</v>
      </c>
      <c r="T59">
        <v>1.4200000000000001E-2</v>
      </c>
      <c r="U59">
        <v>1.0999999999999999E-2</v>
      </c>
      <c r="V59">
        <v>9.1999999999999998E-3</v>
      </c>
      <c r="W59">
        <v>7.4000000000000003E-3</v>
      </c>
      <c r="X59">
        <v>1.52E-2</v>
      </c>
      <c r="Y59">
        <v>1.0999999999999999E-2</v>
      </c>
      <c r="Z59">
        <v>6.3E-3</v>
      </c>
      <c r="AA59">
        <v>1.5299999999999999E-2</v>
      </c>
      <c r="AB59">
        <v>6.4000000000000003E-3</v>
      </c>
      <c r="AC59">
        <v>1.78E-2</v>
      </c>
      <c r="AD59">
        <v>1.12E-2</v>
      </c>
      <c r="AE59">
        <v>9.1000000000000004E-3</v>
      </c>
      <c r="AF59">
        <v>0.01</v>
      </c>
      <c r="AG59">
        <v>8.3000000000000001E-3</v>
      </c>
      <c r="AH59">
        <v>9.2999999999999992E-3</v>
      </c>
      <c r="AI59">
        <v>9.7000000000000003E-3</v>
      </c>
      <c r="AJ59">
        <v>8.6E-3</v>
      </c>
      <c r="AK59">
        <v>5.4000000000000003E-3</v>
      </c>
      <c r="AO59">
        <v>0.1</v>
      </c>
    </row>
    <row r="61" spans="1:41">
      <c r="H61">
        <v>5.7000000000000002E-3</v>
      </c>
      <c r="I61">
        <v>7.11E-3</v>
      </c>
      <c r="J61">
        <v>1.34E-2</v>
      </c>
      <c r="K61">
        <v>7.9900000000000006E-3</v>
      </c>
      <c r="L61">
        <v>1.01E-2</v>
      </c>
      <c r="M61">
        <v>5.5799999999999999E-3</v>
      </c>
      <c r="N61">
        <v>8.1200000000000005E-3</v>
      </c>
      <c r="O61">
        <v>7.5700000000000003E-3</v>
      </c>
      <c r="P61">
        <v>6.3E-3</v>
      </c>
      <c r="Q61">
        <v>1.1900000000000001E-2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2138-29F6-BF4E-A201-725E0512D70D}">
  <dimension ref="A1:N58"/>
  <sheetViews>
    <sheetView topLeftCell="B1" workbookViewId="0">
      <selection activeCell="P4" sqref="P4"/>
    </sheetView>
  </sheetViews>
  <sheetFormatPr baseColWidth="10" defaultRowHeight="20"/>
  <cols>
    <col min="1" max="1" width="30.42578125" customWidth="1"/>
    <col min="2" max="2" width="15" style="1" customWidth="1"/>
  </cols>
  <sheetData>
    <row r="1" spans="1:14">
      <c r="A1" t="s">
        <v>76</v>
      </c>
      <c r="B1" s="1" t="s">
        <v>0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4">
      <c r="B2" s="1" t="s">
        <v>1</v>
      </c>
      <c r="C2">
        <v>24</v>
      </c>
      <c r="D2">
        <v>27</v>
      </c>
      <c r="E2">
        <v>70</v>
      </c>
      <c r="F2">
        <v>62</v>
      </c>
      <c r="G2">
        <v>40</v>
      </c>
      <c r="H2">
        <v>77</v>
      </c>
      <c r="I2">
        <v>23</v>
      </c>
      <c r="J2">
        <v>47</v>
      </c>
      <c r="K2">
        <v>44</v>
      </c>
      <c r="L2">
        <v>66</v>
      </c>
      <c r="M2">
        <f>MAX(C2:L2)</f>
        <v>77</v>
      </c>
      <c r="N2">
        <f>MIN(C2:M2)</f>
        <v>23</v>
      </c>
    </row>
    <row r="3" spans="1:14">
      <c r="B3" s="1" t="s">
        <v>2</v>
      </c>
      <c r="C3">
        <v>38.9</v>
      </c>
      <c r="D3">
        <v>34.299999999999997</v>
      </c>
      <c r="E3">
        <v>61.4</v>
      </c>
      <c r="F3">
        <v>28.7</v>
      </c>
      <c r="G3">
        <v>40.6</v>
      </c>
      <c r="H3">
        <v>43</v>
      </c>
      <c r="I3">
        <v>27.5</v>
      </c>
      <c r="J3">
        <v>33.5</v>
      </c>
      <c r="K3">
        <v>52.1</v>
      </c>
      <c r="L3">
        <v>41.2</v>
      </c>
      <c r="M3">
        <f t="shared" ref="M3:M48" si="0">MAX(C3:L3)</f>
        <v>61.4</v>
      </c>
      <c r="N3">
        <f t="shared" ref="N3:N48" si="1">MIN(C3:M3)</f>
        <v>27.5</v>
      </c>
    </row>
    <row r="4" spans="1:14">
      <c r="B4" s="1" t="s">
        <v>3</v>
      </c>
      <c r="C4">
        <v>11.6</v>
      </c>
      <c r="D4">
        <v>13.1</v>
      </c>
      <c r="E4">
        <v>7.3</v>
      </c>
      <c r="F4">
        <v>15.7</v>
      </c>
      <c r="G4">
        <v>11.1</v>
      </c>
      <c r="H4">
        <v>10.5</v>
      </c>
      <c r="I4">
        <v>16.399999999999999</v>
      </c>
      <c r="J4">
        <v>13.4</v>
      </c>
      <c r="K4">
        <v>8.6</v>
      </c>
      <c r="L4">
        <v>10.9</v>
      </c>
      <c r="M4">
        <f t="shared" si="0"/>
        <v>16.399999999999999</v>
      </c>
      <c r="N4">
        <f t="shared" si="1"/>
        <v>7.3</v>
      </c>
    </row>
    <row r="5" spans="1:14">
      <c r="A5" t="s">
        <v>95</v>
      </c>
      <c r="B5" s="1" t="s">
        <v>4</v>
      </c>
      <c r="C5">
        <v>13.2</v>
      </c>
      <c r="D5">
        <v>31</v>
      </c>
      <c r="E5">
        <v>3</v>
      </c>
      <c r="F5">
        <v>59.9</v>
      </c>
      <c r="G5">
        <v>15.1</v>
      </c>
      <c r="H5">
        <v>19</v>
      </c>
      <c r="I5">
        <v>22</v>
      </c>
      <c r="J5">
        <v>37.4</v>
      </c>
      <c r="K5">
        <v>17.600000000000001</v>
      </c>
      <c r="L5">
        <v>17</v>
      </c>
      <c r="M5">
        <f t="shared" si="0"/>
        <v>59.9</v>
      </c>
      <c r="N5">
        <f t="shared" si="1"/>
        <v>3</v>
      </c>
    </row>
    <row r="6" spans="1:14">
      <c r="A6" t="s">
        <v>77</v>
      </c>
      <c r="B6" s="1" t="s">
        <v>5</v>
      </c>
      <c r="C6">
        <v>0.111</v>
      </c>
      <c r="D6">
        <v>0.19500000000000001</v>
      </c>
      <c r="E6">
        <v>0.51</v>
      </c>
      <c r="F6">
        <v>0.75900000000000001</v>
      </c>
      <c r="G6">
        <v>3.5999999999999997E-2</v>
      </c>
      <c r="H6">
        <v>0.154</v>
      </c>
      <c r="I6">
        <v>2.5999999999999999E-2</v>
      </c>
      <c r="J6">
        <v>0.92800000000000005</v>
      </c>
      <c r="K6">
        <v>9.7000000000000003E-2</v>
      </c>
      <c r="L6">
        <v>0.98299999999999998</v>
      </c>
      <c r="M6">
        <f t="shared" si="0"/>
        <v>0.98299999999999998</v>
      </c>
      <c r="N6">
        <f t="shared" si="1"/>
        <v>2.5999999999999999E-2</v>
      </c>
    </row>
    <row r="7" spans="1:14">
      <c r="A7" t="s">
        <v>77</v>
      </c>
      <c r="B7" s="1" t="s">
        <v>6</v>
      </c>
      <c r="C7">
        <v>3.1E-2</v>
      </c>
      <c r="D7">
        <v>2.8000000000000001E-2</v>
      </c>
      <c r="E7">
        <v>2.3E-2</v>
      </c>
      <c r="F7">
        <v>2.5000000000000001E-2</v>
      </c>
      <c r="G7">
        <v>5.0999999999999997E-2</v>
      </c>
      <c r="H7">
        <v>2.7E-2</v>
      </c>
      <c r="I7">
        <v>6.5000000000000002E-2</v>
      </c>
      <c r="J7">
        <v>1.9E-2</v>
      </c>
      <c r="K7">
        <v>3.1E-2</v>
      </c>
      <c r="L7">
        <v>1.9E-2</v>
      </c>
      <c r="M7">
        <f t="shared" si="0"/>
        <v>6.5000000000000002E-2</v>
      </c>
      <c r="N7">
        <f t="shared" si="1"/>
        <v>1.9E-2</v>
      </c>
    </row>
    <row r="8" spans="1:14">
      <c r="A8" t="s">
        <v>77</v>
      </c>
      <c r="B8" s="1" t="s">
        <v>7</v>
      </c>
      <c r="C8">
        <v>6.0000000000000001E-3</v>
      </c>
      <c r="D8">
        <v>8.0000000000000002E-3</v>
      </c>
      <c r="E8">
        <v>1.6E-2</v>
      </c>
      <c r="F8">
        <v>8.9999999999999993E-3</v>
      </c>
      <c r="G8">
        <v>1.0999999999999999E-2</v>
      </c>
      <c r="H8">
        <v>6.0000000000000001E-3</v>
      </c>
      <c r="I8">
        <v>7.0000000000000001E-3</v>
      </c>
      <c r="J8">
        <v>8.9999999999999993E-3</v>
      </c>
      <c r="K8">
        <v>7.0000000000000001E-3</v>
      </c>
      <c r="L8">
        <v>1.4E-2</v>
      </c>
      <c r="M8">
        <f t="shared" si="0"/>
        <v>1.6E-2</v>
      </c>
      <c r="N8">
        <f t="shared" si="1"/>
        <v>6.0000000000000001E-3</v>
      </c>
    </row>
    <row r="9" spans="1:14">
      <c r="A9" t="s">
        <v>77</v>
      </c>
      <c r="B9" s="1" t="s">
        <v>8</v>
      </c>
      <c r="C9">
        <v>0.81200000000000006</v>
      </c>
      <c r="D9">
        <v>0.80200000000000005</v>
      </c>
      <c r="E9">
        <v>0.94299999999999995</v>
      </c>
      <c r="F9">
        <v>0.94399999999999995</v>
      </c>
      <c r="G9">
        <v>0.65700000000000003</v>
      </c>
      <c r="H9">
        <v>0.89300000000000002</v>
      </c>
      <c r="I9">
        <v>0.622</v>
      </c>
      <c r="J9">
        <v>0.875</v>
      </c>
      <c r="K9">
        <v>0.85299999999999998</v>
      </c>
      <c r="L9">
        <v>0.77600000000000002</v>
      </c>
      <c r="M9">
        <f t="shared" si="0"/>
        <v>0.94399999999999995</v>
      </c>
      <c r="N9">
        <f t="shared" si="1"/>
        <v>0.622</v>
      </c>
    </row>
    <row r="10" spans="1:14">
      <c r="A10" t="s">
        <v>77</v>
      </c>
      <c r="B10" s="1" t="s">
        <v>9</v>
      </c>
      <c r="C10">
        <v>0.129</v>
      </c>
      <c r="D10">
        <v>0.191</v>
      </c>
      <c r="E10">
        <v>0.11899999999999999</v>
      </c>
      <c r="F10">
        <v>0.188</v>
      </c>
      <c r="G10">
        <v>0.124</v>
      </c>
      <c r="H10">
        <v>0.249</v>
      </c>
      <c r="I10">
        <v>0.13900000000000001</v>
      </c>
      <c r="J10">
        <v>0.216</v>
      </c>
      <c r="K10">
        <v>0.115</v>
      </c>
      <c r="L10">
        <v>0.22800000000000001</v>
      </c>
      <c r="M10">
        <f t="shared" si="0"/>
        <v>0.249</v>
      </c>
      <c r="N10">
        <f t="shared" si="1"/>
        <v>0.115</v>
      </c>
    </row>
    <row r="11" spans="1:14">
      <c r="A11" t="s">
        <v>78</v>
      </c>
      <c r="B11" s="1" t="s">
        <v>10</v>
      </c>
      <c r="C11">
        <v>6.0000000000000001E-3</v>
      </c>
      <c r="D11">
        <v>7.0000000000000001E-3</v>
      </c>
      <c r="E11">
        <v>6.0000000000000001E-3</v>
      </c>
      <c r="F11">
        <v>7.0000000000000001E-3</v>
      </c>
      <c r="G11">
        <v>4.0000000000000001E-3</v>
      </c>
      <c r="H11">
        <v>3.0000000000000001E-3</v>
      </c>
      <c r="I11">
        <v>1.0999999999999999E-2</v>
      </c>
      <c r="J11">
        <v>5.0000000000000001E-3</v>
      </c>
      <c r="K11">
        <v>0.01</v>
      </c>
      <c r="L11">
        <v>0.01</v>
      </c>
      <c r="M11">
        <f t="shared" si="0"/>
        <v>1.0999999999999999E-2</v>
      </c>
      <c r="N11">
        <f t="shared" si="1"/>
        <v>3.0000000000000001E-3</v>
      </c>
    </row>
    <row r="12" spans="1:14">
      <c r="A12" t="s">
        <v>79</v>
      </c>
      <c r="B12" s="1" t="s">
        <v>106</v>
      </c>
      <c r="M12">
        <f t="shared" si="0"/>
        <v>0</v>
      </c>
      <c r="N12">
        <f t="shared" si="1"/>
        <v>0</v>
      </c>
    </row>
    <row r="13" spans="1:14">
      <c r="A13" t="s">
        <v>79</v>
      </c>
      <c r="B13" s="1" t="s">
        <v>11</v>
      </c>
      <c r="C13">
        <v>4.0000000000000001E-3</v>
      </c>
      <c r="D13">
        <v>2E-3</v>
      </c>
      <c r="E13">
        <v>0.01</v>
      </c>
      <c r="F13">
        <v>2E-3</v>
      </c>
      <c r="G13">
        <v>6.0000000000000001E-3</v>
      </c>
      <c r="H13">
        <v>2E-3</v>
      </c>
      <c r="I13">
        <v>0.01</v>
      </c>
      <c r="J13">
        <v>5.0000000000000001E-3</v>
      </c>
      <c r="K13">
        <v>1.0999999999999999E-2</v>
      </c>
      <c r="L13">
        <v>3.0000000000000001E-3</v>
      </c>
      <c r="M13">
        <f t="shared" si="0"/>
        <v>1.0999999999999999E-2</v>
      </c>
      <c r="N13">
        <f t="shared" si="1"/>
        <v>2E-3</v>
      </c>
    </row>
    <row r="14" spans="1:14">
      <c r="A14" t="s">
        <v>79</v>
      </c>
      <c r="B14" s="1" t="s">
        <v>12</v>
      </c>
      <c r="C14">
        <v>8.0000000000000002E-3</v>
      </c>
      <c r="D14">
        <v>2.1999999999999999E-2</v>
      </c>
      <c r="E14">
        <v>3.0000000000000001E-3</v>
      </c>
      <c r="F14">
        <v>1.6E-2</v>
      </c>
      <c r="G14">
        <v>7.0000000000000001E-3</v>
      </c>
      <c r="H14">
        <v>1.2E-2</v>
      </c>
      <c r="I14">
        <v>6.0000000000000001E-3</v>
      </c>
      <c r="J14">
        <v>2.1000000000000001E-2</v>
      </c>
      <c r="K14">
        <v>6.0000000000000001E-3</v>
      </c>
      <c r="L14">
        <v>5.0000000000000001E-3</v>
      </c>
      <c r="M14">
        <f t="shared" si="0"/>
        <v>2.1999999999999999E-2</v>
      </c>
      <c r="N14">
        <f t="shared" si="1"/>
        <v>3.0000000000000001E-3</v>
      </c>
    </row>
    <row r="15" spans="1:14">
      <c r="A15" t="s">
        <v>80</v>
      </c>
      <c r="B15" s="1" t="s">
        <v>13</v>
      </c>
      <c r="C15">
        <v>1.748</v>
      </c>
      <c r="D15">
        <v>1.7030000000000001</v>
      </c>
      <c r="E15">
        <v>1.8360000000000001</v>
      </c>
      <c r="F15">
        <v>1.7529999999999999</v>
      </c>
      <c r="G15">
        <v>1.83</v>
      </c>
      <c r="H15">
        <v>1.677</v>
      </c>
      <c r="I15">
        <v>1.5660000000000001</v>
      </c>
      <c r="J15">
        <v>1.7170000000000001</v>
      </c>
      <c r="K15">
        <v>1.837</v>
      </c>
      <c r="L15">
        <v>2.016</v>
      </c>
      <c r="M15">
        <f t="shared" si="0"/>
        <v>2.016</v>
      </c>
      <c r="N15">
        <f t="shared" si="1"/>
        <v>1.5660000000000001</v>
      </c>
    </row>
    <row r="16" spans="1:14">
      <c r="A16" t="s">
        <v>81</v>
      </c>
      <c r="B16" s="1" t="s">
        <v>14</v>
      </c>
      <c r="C16">
        <v>0.03</v>
      </c>
      <c r="D16">
        <v>2.9000000000000001E-2</v>
      </c>
      <c r="E16">
        <v>2.7E-2</v>
      </c>
      <c r="F16">
        <v>9.6000000000000002E-2</v>
      </c>
      <c r="G16">
        <v>4.9000000000000002E-2</v>
      </c>
      <c r="H16">
        <v>4.2999999999999997E-2</v>
      </c>
      <c r="I16">
        <v>5.8999999999999997E-2</v>
      </c>
      <c r="J16">
        <v>6.9000000000000006E-2</v>
      </c>
      <c r="K16">
        <v>6.0999999999999999E-2</v>
      </c>
      <c r="L16">
        <v>4.8000000000000001E-2</v>
      </c>
      <c r="M16">
        <f t="shared" si="0"/>
        <v>9.6000000000000002E-2</v>
      </c>
      <c r="N16">
        <f t="shared" si="1"/>
        <v>2.7E-2</v>
      </c>
    </row>
    <row r="17" spans="1:14">
      <c r="A17" t="s">
        <v>81</v>
      </c>
      <c r="B17" s="1" t="s">
        <v>15</v>
      </c>
      <c r="C17">
        <v>199.5</v>
      </c>
      <c r="D17">
        <v>215.2</v>
      </c>
      <c r="E17">
        <v>238.1</v>
      </c>
      <c r="F17">
        <v>217.7</v>
      </c>
      <c r="G17">
        <v>240.5</v>
      </c>
      <c r="H17">
        <v>228.1</v>
      </c>
      <c r="I17">
        <v>220.5</v>
      </c>
      <c r="J17">
        <v>227.1</v>
      </c>
      <c r="K17">
        <v>226.9</v>
      </c>
      <c r="L17">
        <v>246.6</v>
      </c>
      <c r="M17">
        <f t="shared" si="0"/>
        <v>246.6</v>
      </c>
      <c r="N17">
        <f t="shared" si="1"/>
        <v>199.5</v>
      </c>
    </row>
    <row r="18" spans="1:14">
      <c r="A18" t="s">
        <v>82</v>
      </c>
      <c r="B18" s="1" t="s">
        <v>16</v>
      </c>
      <c r="C18">
        <v>9.8000000000000004E-2</v>
      </c>
      <c r="D18">
        <v>6.7000000000000004E-2</v>
      </c>
      <c r="E18">
        <v>0.34399999999999997</v>
      </c>
      <c r="F18">
        <v>0.11600000000000001</v>
      </c>
      <c r="G18">
        <v>0.109</v>
      </c>
      <c r="H18">
        <v>0.189</v>
      </c>
      <c r="I18">
        <v>0.06</v>
      </c>
      <c r="J18">
        <v>3.6999999999999998E-2</v>
      </c>
      <c r="K18">
        <v>0.11600000000000001</v>
      </c>
      <c r="L18">
        <v>0.127</v>
      </c>
      <c r="M18">
        <f t="shared" si="0"/>
        <v>0.34399999999999997</v>
      </c>
      <c r="N18">
        <f t="shared" si="1"/>
        <v>3.6999999999999998E-2</v>
      </c>
    </row>
    <row r="19" spans="1:14">
      <c r="A19" t="s">
        <v>82</v>
      </c>
      <c r="B19" s="1" t="s">
        <v>17</v>
      </c>
      <c r="C19">
        <v>5.2999999999999999E-2</v>
      </c>
      <c r="D19">
        <v>7.8E-2</v>
      </c>
      <c r="E19">
        <v>4.4999999999999998E-2</v>
      </c>
      <c r="F19">
        <v>7.9000000000000001E-2</v>
      </c>
      <c r="G19">
        <v>6.0999999999999999E-2</v>
      </c>
      <c r="H19">
        <v>8.5999999999999993E-2</v>
      </c>
      <c r="I19">
        <v>7.5999999999999998E-2</v>
      </c>
      <c r="J19">
        <v>7.0999999999999994E-2</v>
      </c>
      <c r="K19">
        <v>7.1999999999999995E-2</v>
      </c>
      <c r="L19">
        <v>6.6000000000000003E-2</v>
      </c>
      <c r="M19">
        <f t="shared" si="0"/>
        <v>8.5999999999999993E-2</v>
      </c>
      <c r="N19">
        <f t="shared" si="1"/>
        <v>4.4999999999999998E-2</v>
      </c>
    </row>
    <row r="20" spans="1:14">
      <c r="A20" t="s">
        <v>83</v>
      </c>
      <c r="B20" s="1" t="s">
        <v>18</v>
      </c>
      <c r="C20">
        <v>1.4999999999999999E-2</v>
      </c>
      <c r="D20">
        <v>0.03</v>
      </c>
      <c r="E20">
        <v>1.2E-2</v>
      </c>
      <c r="F20">
        <v>4.7E-2</v>
      </c>
      <c r="G20">
        <v>3.3000000000000002E-2</v>
      </c>
      <c r="H20">
        <v>1.2999999999999999E-2</v>
      </c>
      <c r="I20">
        <v>2.7E-2</v>
      </c>
      <c r="J20">
        <v>3.4000000000000002E-2</v>
      </c>
      <c r="K20">
        <v>1.7000000000000001E-2</v>
      </c>
      <c r="L20">
        <v>1.7999999999999999E-2</v>
      </c>
      <c r="M20">
        <f t="shared" si="0"/>
        <v>4.7E-2</v>
      </c>
      <c r="N20">
        <f t="shared" si="1"/>
        <v>1.2E-2</v>
      </c>
    </row>
    <row r="21" spans="1:14">
      <c r="A21" t="s">
        <v>80</v>
      </c>
      <c r="B21" s="1" t="s">
        <v>19</v>
      </c>
      <c r="C21">
        <v>5.8999999999999997E-2</v>
      </c>
      <c r="D21">
        <v>6.2E-2</v>
      </c>
      <c r="E21">
        <v>4.9000000000000002E-2</v>
      </c>
      <c r="F21">
        <v>0.06</v>
      </c>
      <c r="G21">
        <v>4.2999999999999997E-2</v>
      </c>
      <c r="H21">
        <v>5.8000000000000003E-2</v>
      </c>
      <c r="I21">
        <v>7.4999999999999997E-2</v>
      </c>
      <c r="J21">
        <v>6.3E-2</v>
      </c>
      <c r="K21">
        <v>0.107</v>
      </c>
      <c r="L21">
        <v>7.0000000000000007E-2</v>
      </c>
      <c r="M21">
        <f t="shared" si="0"/>
        <v>0.107</v>
      </c>
      <c r="N21">
        <f t="shared" si="1"/>
        <v>4.2999999999999997E-2</v>
      </c>
    </row>
    <row r="22" spans="1:14">
      <c r="A22" t="s">
        <v>84</v>
      </c>
      <c r="B22" s="1" t="s">
        <v>20</v>
      </c>
      <c r="C22">
        <v>0.156</v>
      </c>
      <c r="D22">
        <v>0.32600000000000001</v>
      </c>
      <c r="E22">
        <v>0.104</v>
      </c>
      <c r="F22">
        <v>0.186</v>
      </c>
      <c r="G22">
        <v>8.5000000000000006E-2</v>
      </c>
      <c r="H22">
        <v>0.20499999999999999</v>
      </c>
      <c r="I22">
        <v>0.55000000000000004</v>
      </c>
      <c r="J22">
        <v>0.19</v>
      </c>
      <c r="K22">
        <v>0.17199999999999999</v>
      </c>
      <c r="L22">
        <v>0.13500000000000001</v>
      </c>
      <c r="M22">
        <f t="shared" si="0"/>
        <v>0.55000000000000004</v>
      </c>
      <c r="N22">
        <f t="shared" si="1"/>
        <v>8.5000000000000006E-2</v>
      </c>
    </row>
    <row r="23" spans="1:14">
      <c r="A23" t="s">
        <v>84</v>
      </c>
      <c r="B23" s="1" t="s">
        <v>21</v>
      </c>
      <c r="C23">
        <v>4.2999999999999997E-2</v>
      </c>
      <c r="D23">
        <v>8.3000000000000004E-2</v>
      </c>
      <c r="E23">
        <v>2.1000000000000001E-2</v>
      </c>
      <c r="F23">
        <v>4.1000000000000002E-2</v>
      </c>
      <c r="G23">
        <v>0.03</v>
      </c>
      <c r="H23">
        <v>2.9000000000000001E-2</v>
      </c>
      <c r="I23">
        <v>0.03</v>
      </c>
      <c r="J23">
        <v>4.2000000000000003E-2</v>
      </c>
      <c r="K23">
        <v>2.4E-2</v>
      </c>
      <c r="L23">
        <v>1.7000000000000001E-2</v>
      </c>
      <c r="M23">
        <f t="shared" si="0"/>
        <v>8.3000000000000004E-2</v>
      </c>
      <c r="N23">
        <f t="shared" si="1"/>
        <v>1.7000000000000001E-2</v>
      </c>
    </row>
    <row r="24" spans="1:14">
      <c r="A24" t="s">
        <v>85</v>
      </c>
      <c r="B24" s="2" t="s">
        <v>22</v>
      </c>
      <c r="C24">
        <v>151.30000000000001</v>
      </c>
      <c r="D24">
        <v>157.5</v>
      </c>
      <c r="E24">
        <v>152.30000000000001</v>
      </c>
      <c r="F24">
        <v>154.4</v>
      </c>
      <c r="G24">
        <v>139.69999999999999</v>
      </c>
      <c r="H24">
        <v>154.9</v>
      </c>
      <c r="I24">
        <v>128.4</v>
      </c>
      <c r="J24">
        <v>149.5</v>
      </c>
      <c r="K24">
        <v>145.30000000000001</v>
      </c>
      <c r="L24">
        <v>140.80000000000001</v>
      </c>
      <c r="M24">
        <f t="shared" si="0"/>
        <v>157.5</v>
      </c>
      <c r="N24">
        <f t="shared" si="1"/>
        <v>128.4</v>
      </c>
    </row>
    <row r="25" spans="1:14">
      <c r="A25" t="s">
        <v>86</v>
      </c>
      <c r="B25" s="2" t="s">
        <v>23</v>
      </c>
      <c r="C25">
        <v>3.0009999999999999</v>
      </c>
      <c r="D25">
        <v>2.351</v>
      </c>
      <c r="E25">
        <v>2.8639999999999999</v>
      </c>
      <c r="F25">
        <v>2.4750000000000001</v>
      </c>
      <c r="G25">
        <v>2.9529999999999998</v>
      </c>
      <c r="H25">
        <v>2.6019999999999999</v>
      </c>
      <c r="I25">
        <v>2.6160000000000001</v>
      </c>
      <c r="J25">
        <v>2.8719999999999999</v>
      </c>
      <c r="K25">
        <v>3.1320000000000001</v>
      </c>
      <c r="L25">
        <v>3.415</v>
      </c>
      <c r="M25">
        <f t="shared" si="0"/>
        <v>3.415</v>
      </c>
      <c r="N25">
        <f t="shared" si="1"/>
        <v>2.351</v>
      </c>
    </row>
    <row r="26" spans="1:14">
      <c r="A26" t="s">
        <v>87</v>
      </c>
      <c r="B26" s="1" t="s">
        <v>24</v>
      </c>
      <c r="C26">
        <v>76.37</v>
      </c>
      <c r="D26">
        <v>102.62</v>
      </c>
      <c r="E26">
        <v>74.61</v>
      </c>
      <c r="F26">
        <v>57.32</v>
      </c>
      <c r="G26">
        <v>59.06</v>
      </c>
      <c r="H26">
        <v>68.709999999999994</v>
      </c>
      <c r="I26">
        <v>67.319999999999993</v>
      </c>
      <c r="J26">
        <v>68.28</v>
      </c>
      <c r="K26">
        <v>64</v>
      </c>
      <c r="L26">
        <v>66.63</v>
      </c>
      <c r="M26">
        <f t="shared" si="0"/>
        <v>102.62</v>
      </c>
      <c r="N26">
        <f t="shared" si="1"/>
        <v>57.32</v>
      </c>
    </row>
    <row r="27" spans="1:14">
      <c r="A27" t="s">
        <v>88</v>
      </c>
      <c r="B27" s="1" t="s">
        <v>25</v>
      </c>
      <c r="C27">
        <v>90.56</v>
      </c>
      <c r="D27">
        <v>88.51</v>
      </c>
      <c r="E27">
        <v>69.239999999999995</v>
      </c>
      <c r="F27">
        <v>103.75</v>
      </c>
      <c r="G27">
        <v>93.76</v>
      </c>
      <c r="H27">
        <v>96.16</v>
      </c>
      <c r="I27">
        <v>70.25</v>
      </c>
      <c r="J27">
        <v>94.61</v>
      </c>
      <c r="K27">
        <v>138.97999999999999</v>
      </c>
      <c r="L27">
        <v>81.650000000000006</v>
      </c>
      <c r="M27">
        <f t="shared" si="0"/>
        <v>138.97999999999999</v>
      </c>
      <c r="N27">
        <f t="shared" si="1"/>
        <v>69.239999999999995</v>
      </c>
    </row>
    <row r="28" spans="1:14">
      <c r="A28" t="s">
        <v>89</v>
      </c>
      <c r="B28" s="1" t="s">
        <v>26</v>
      </c>
      <c r="C28">
        <v>1.0329999999999999</v>
      </c>
      <c r="D28">
        <v>1.0980000000000001</v>
      </c>
      <c r="E28">
        <v>1.0049999999999999</v>
      </c>
      <c r="F28">
        <v>0.92500000000000004</v>
      </c>
      <c r="G28">
        <v>1.1619999999999999</v>
      </c>
      <c r="H28">
        <v>1.224</v>
      </c>
      <c r="I28">
        <v>1.1599999999999999</v>
      </c>
      <c r="J28">
        <v>1.145</v>
      </c>
      <c r="K28">
        <v>1.1359999999999999</v>
      </c>
      <c r="L28">
        <v>1.141</v>
      </c>
      <c r="M28">
        <f t="shared" si="0"/>
        <v>1.224</v>
      </c>
      <c r="N28">
        <f t="shared" si="1"/>
        <v>0.92500000000000004</v>
      </c>
    </row>
    <row r="29" spans="1:14">
      <c r="A29" t="s">
        <v>92</v>
      </c>
      <c r="B29" s="1" t="s">
        <v>91</v>
      </c>
      <c r="C29">
        <v>0.108</v>
      </c>
      <c r="D29">
        <v>9.0999999999999998E-2</v>
      </c>
      <c r="E29">
        <v>7.0999999999999994E-2</v>
      </c>
      <c r="F29">
        <v>4.4999999999999998E-2</v>
      </c>
      <c r="G29">
        <v>6.5000000000000002E-2</v>
      </c>
      <c r="H29">
        <v>0.128</v>
      </c>
      <c r="I29">
        <v>0.17599999999999999</v>
      </c>
      <c r="J29">
        <v>0.129</v>
      </c>
      <c r="K29">
        <v>0.112</v>
      </c>
      <c r="L29">
        <v>0.108</v>
      </c>
      <c r="M29">
        <f t="shared" si="0"/>
        <v>0.17599999999999999</v>
      </c>
      <c r="N29">
        <f t="shared" si="1"/>
        <v>4.4999999999999998E-2</v>
      </c>
    </row>
    <row r="30" spans="1:14">
      <c r="A30" t="s">
        <v>90</v>
      </c>
      <c r="B30" s="1" t="s">
        <v>27</v>
      </c>
      <c r="C30">
        <v>1.7000000000000001E-2</v>
      </c>
      <c r="D30">
        <v>1.7000000000000001E-2</v>
      </c>
      <c r="E30">
        <v>1.7000000000000001E-2</v>
      </c>
      <c r="F30">
        <v>1.6E-2</v>
      </c>
      <c r="G30">
        <v>1.4999999999999999E-2</v>
      </c>
      <c r="H30">
        <v>1.6E-2</v>
      </c>
      <c r="I30">
        <v>1.9E-2</v>
      </c>
      <c r="J30">
        <v>1.2999999999999999E-2</v>
      </c>
      <c r="K30">
        <v>1.7000000000000001E-2</v>
      </c>
      <c r="L30">
        <v>1.4E-2</v>
      </c>
      <c r="M30">
        <f t="shared" si="0"/>
        <v>1.9E-2</v>
      </c>
      <c r="N30">
        <f t="shared" si="1"/>
        <v>1.2999999999999999E-2</v>
      </c>
    </row>
    <row r="31" spans="1:14">
      <c r="A31" t="s">
        <v>90</v>
      </c>
      <c r="B31" s="1" t="s">
        <v>28</v>
      </c>
      <c r="C31">
        <v>1E-3</v>
      </c>
      <c r="D31">
        <v>2E-3</v>
      </c>
      <c r="E31">
        <v>1E-3</v>
      </c>
      <c r="F31">
        <v>2E-3</v>
      </c>
      <c r="G31">
        <v>2E-3</v>
      </c>
      <c r="H31">
        <v>2E-3</v>
      </c>
      <c r="I31">
        <v>1E-3</v>
      </c>
      <c r="J31">
        <v>1E-3</v>
      </c>
      <c r="K31">
        <v>2E-3</v>
      </c>
      <c r="L31">
        <v>2E-3</v>
      </c>
      <c r="M31">
        <f t="shared" si="0"/>
        <v>2E-3</v>
      </c>
      <c r="N31">
        <f t="shared" si="1"/>
        <v>1E-3</v>
      </c>
    </row>
    <row r="32" spans="1:14">
      <c r="A32" t="s">
        <v>90</v>
      </c>
      <c r="B32" s="1" t="s">
        <v>29</v>
      </c>
      <c r="C32">
        <v>7.0000000000000001E-3</v>
      </c>
      <c r="D32">
        <v>1.6E-2</v>
      </c>
      <c r="E32">
        <v>1.2E-2</v>
      </c>
      <c r="F32">
        <v>1.2E-2</v>
      </c>
      <c r="G32">
        <v>0.02</v>
      </c>
      <c r="H32">
        <v>1.4E-2</v>
      </c>
      <c r="I32">
        <v>1.4E-2</v>
      </c>
      <c r="J32">
        <v>1.2E-2</v>
      </c>
      <c r="K32">
        <v>1.6E-2</v>
      </c>
      <c r="L32">
        <v>2.5999999999999999E-2</v>
      </c>
      <c r="M32">
        <f t="shared" si="0"/>
        <v>2.5999999999999999E-2</v>
      </c>
      <c r="N32">
        <f t="shared" si="1"/>
        <v>7.0000000000000001E-3</v>
      </c>
    </row>
    <row r="33" spans="1:14">
      <c r="A33" t="s">
        <v>84</v>
      </c>
      <c r="B33" s="1" t="s">
        <v>60</v>
      </c>
      <c r="C33">
        <v>0.27389999999999998</v>
      </c>
      <c r="D33">
        <v>0.27389999999999998</v>
      </c>
      <c r="E33">
        <v>0.27389999999999998</v>
      </c>
      <c r="F33">
        <v>0.27389999999999998</v>
      </c>
      <c r="G33">
        <v>0.27389999999999998</v>
      </c>
      <c r="H33">
        <v>0.27389999999999998</v>
      </c>
      <c r="I33">
        <v>0.27389999999999998</v>
      </c>
      <c r="J33">
        <v>0.27389999999999998</v>
      </c>
      <c r="K33">
        <v>0.27389999999999998</v>
      </c>
      <c r="L33">
        <v>0.27389999999999998</v>
      </c>
      <c r="M33">
        <f t="shared" si="0"/>
        <v>0.27389999999999998</v>
      </c>
      <c r="N33">
        <f t="shared" si="1"/>
        <v>0.27389999999999998</v>
      </c>
    </row>
    <row r="34" spans="1:14">
      <c r="A34" t="s">
        <v>84</v>
      </c>
      <c r="B34" s="1" t="s">
        <v>61</v>
      </c>
      <c r="C34">
        <v>3.1300000000000001E-2</v>
      </c>
      <c r="D34">
        <v>3.1300000000000001E-2</v>
      </c>
      <c r="E34">
        <v>3.1300000000000001E-2</v>
      </c>
      <c r="F34">
        <v>3.1300000000000001E-2</v>
      </c>
      <c r="G34">
        <v>3.1300000000000001E-2</v>
      </c>
      <c r="H34">
        <v>3.1300000000000001E-2</v>
      </c>
      <c r="I34">
        <v>3.1300000000000001E-2</v>
      </c>
      <c r="J34">
        <v>3.1300000000000001E-2</v>
      </c>
      <c r="K34">
        <v>3.1300000000000001E-2</v>
      </c>
      <c r="L34">
        <v>3.1300000000000001E-2</v>
      </c>
      <c r="M34">
        <f t="shared" si="0"/>
        <v>3.1300000000000001E-2</v>
      </c>
      <c r="N34">
        <f t="shared" si="1"/>
        <v>3.1300000000000001E-2</v>
      </c>
    </row>
    <row r="35" spans="1:14">
      <c r="A35" t="s">
        <v>77</v>
      </c>
      <c r="B35" s="1" t="s">
        <v>62</v>
      </c>
      <c r="C35">
        <v>5.5800000000000002E-2</v>
      </c>
      <c r="D35">
        <v>5.5800000000000002E-2</v>
      </c>
      <c r="E35">
        <v>5.5800000000000002E-2</v>
      </c>
      <c r="F35">
        <v>5.5800000000000002E-2</v>
      </c>
      <c r="G35">
        <v>5.5800000000000002E-2</v>
      </c>
      <c r="H35">
        <v>5.5800000000000002E-2</v>
      </c>
      <c r="I35">
        <v>5.5800000000000002E-2</v>
      </c>
      <c r="J35">
        <v>5.5800000000000002E-2</v>
      </c>
      <c r="K35">
        <v>5.5800000000000002E-2</v>
      </c>
      <c r="L35">
        <v>5.5800000000000002E-2</v>
      </c>
      <c r="M35">
        <f t="shared" si="0"/>
        <v>5.5800000000000002E-2</v>
      </c>
      <c r="N35">
        <f t="shared" si="1"/>
        <v>5.5800000000000002E-2</v>
      </c>
    </row>
    <row r="36" spans="1:14">
      <c r="A36" t="s">
        <v>77</v>
      </c>
      <c r="B36" s="1" t="s">
        <v>63</v>
      </c>
      <c r="C36">
        <v>0.9</v>
      </c>
      <c r="D36">
        <v>0.9</v>
      </c>
      <c r="E36">
        <v>0.9</v>
      </c>
      <c r="F36">
        <v>0.9</v>
      </c>
      <c r="G36">
        <v>0.9</v>
      </c>
      <c r="H36">
        <v>0.9</v>
      </c>
      <c r="I36">
        <v>0.9</v>
      </c>
      <c r="J36">
        <v>0.9</v>
      </c>
      <c r="K36">
        <v>0.9</v>
      </c>
      <c r="L36">
        <v>0.9</v>
      </c>
      <c r="M36">
        <f t="shared" si="0"/>
        <v>0.9</v>
      </c>
      <c r="N36">
        <f t="shared" si="1"/>
        <v>0.9</v>
      </c>
    </row>
    <row r="37" spans="1:14">
      <c r="A37" t="s">
        <v>79</v>
      </c>
      <c r="B37" s="1" t="s">
        <v>64</v>
      </c>
      <c r="C37">
        <v>6.1800000000000001E-2</v>
      </c>
      <c r="D37">
        <v>6.1800000000000001E-2</v>
      </c>
      <c r="E37">
        <v>6.1800000000000001E-2</v>
      </c>
      <c r="F37">
        <v>6.1800000000000001E-2</v>
      </c>
      <c r="G37">
        <v>6.1800000000000001E-2</v>
      </c>
      <c r="H37">
        <v>6.1800000000000001E-2</v>
      </c>
      <c r="I37">
        <v>6.1800000000000001E-2</v>
      </c>
      <c r="J37">
        <v>6.1800000000000001E-2</v>
      </c>
      <c r="K37">
        <v>6.1800000000000001E-2</v>
      </c>
      <c r="L37">
        <v>6.1800000000000001E-2</v>
      </c>
      <c r="M37">
        <f t="shared" si="0"/>
        <v>6.1800000000000001E-2</v>
      </c>
      <c r="N37">
        <f t="shared" si="1"/>
        <v>6.1800000000000001E-2</v>
      </c>
    </row>
    <row r="38" spans="1:14">
      <c r="A38" t="s">
        <v>93</v>
      </c>
      <c r="B38" s="1" t="s">
        <v>65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f t="shared" si="0"/>
        <v>1</v>
      </c>
      <c r="N38">
        <f t="shared" si="1"/>
        <v>1</v>
      </c>
    </row>
    <row r="39" spans="1:14">
      <c r="A39" t="s">
        <v>94</v>
      </c>
      <c r="B39" s="1" t="s">
        <v>101</v>
      </c>
      <c r="C39">
        <v>312.5</v>
      </c>
      <c r="D39">
        <v>312.5</v>
      </c>
      <c r="E39">
        <v>312.5</v>
      </c>
      <c r="F39">
        <v>312.5</v>
      </c>
      <c r="G39">
        <v>312.5</v>
      </c>
      <c r="H39">
        <v>312.5</v>
      </c>
      <c r="I39">
        <v>312.5</v>
      </c>
      <c r="J39">
        <v>312.5</v>
      </c>
      <c r="K39">
        <v>312.5</v>
      </c>
      <c r="L39">
        <v>312.5</v>
      </c>
      <c r="M39">
        <f t="shared" si="0"/>
        <v>312.5</v>
      </c>
      <c r="N39">
        <f t="shared" si="1"/>
        <v>312.5</v>
      </c>
    </row>
    <row r="40" spans="1:14">
      <c r="A40" t="s">
        <v>94</v>
      </c>
      <c r="B40" s="1" t="s">
        <v>102</v>
      </c>
      <c r="C40">
        <v>321</v>
      </c>
      <c r="D40">
        <v>321</v>
      </c>
      <c r="E40">
        <v>321</v>
      </c>
      <c r="F40">
        <v>321</v>
      </c>
      <c r="G40">
        <v>321</v>
      </c>
      <c r="H40">
        <v>321</v>
      </c>
      <c r="I40">
        <v>321</v>
      </c>
      <c r="J40">
        <v>321</v>
      </c>
      <c r="K40">
        <v>321</v>
      </c>
      <c r="L40">
        <v>321</v>
      </c>
      <c r="M40">
        <f t="shared" si="0"/>
        <v>321</v>
      </c>
      <c r="N40">
        <f t="shared" si="1"/>
        <v>321</v>
      </c>
    </row>
    <row r="41" spans="1:14">
      <c r="A41" t="s">
        <v>94</v>
      </c>
      <c r="B41" s="1" t="s">
        <v>103</v>
      </c>
      <c r="C41">
        <v>180</v>
      </c>
      <c r="D41">
        <v>180</v>
      </c>
      <c r="E41">
        <v>180</v>
      </c>
      <c r="F41">
        <v>180</v>
      </c>
      <c r="G41">
        <v>180</v>
      </c>
      <c r="H41">
        <v>180</v>
      </c>
      <c r="I41">
        <v>180</v>
      </c>
      <c r="J41">
        <v>180</v>
      </c>
      <c r="K41">
        <v>180</v>
      </c>
      <c r="L41">
        <v>180</v>
      </c>
      <c r="M41">
        <f t="shared" si="0"/>
        <v>180</v>
      </c>
      <c r="N41">
        <f t="shared" si="1"/>
        <v>180</v>
      </c>
    </row>
    <row r="42" spans="1:14">
      <c r="A42" t="s">
        <v>84</v>
      </c>
      <c r="B42" s="1" t="s">
        <v>68</v>
      </c>
      <c r="C42">
        <v>0.6</v>
      </c>
      <c r="D42">
        <v>0.6</v>
      </c>
      <c r="E42">
        <v>0.6</v>
      </c>
      <c r="F42">
        <v>0.6</v>
      </c>
      <c r="G42">
        <v>0.6</v>
      </c>
      <c r="H42">
        <v>0.6</v>
      </c>
      <c r="I42">
        <v>0.6</v>
      </c>
      <c r="J42">
        <v>0.6</v>
      </c>
      <c r="K42">
        <v>0.6</v>
      </c>
      <c r="L42">
        <v>0.6</v>
      </c>
      <c r="M42">
        <f t="shared" si="0"/>
        <v>0.6</v>
      </c>
      <c r="N42">
        <f t="shared" si="1"/>
        <v>0.6</v>
      </c>
    </row>
    <row r="43" spans="1:14">
      <c r="A43" t="s">
        <v>94</v>
      </c>
      <c r="B43" s="1" t="s">
        <v>69</v>
      </c>
      <c r="C43">
        <v>1.2</v>
      </c>
      <c r="D43">
        <v>1.2</v>
      </c>
      <c r="E43">
        <v>1.2</v>
      </c>
      <c r="F43">
        <v>1.2</v>
      </c>
      <c r="G43">
        <v>1.2</v>
      </c>
      <c r="H43">
        <v>1.2</v>
      </c>
      <c r="I43">
        <v>1.2</v>
      </c>
      <c r="J43">
        <v>1.2</v>
      </c>
      <c r="K43">
        <v>1.2</v>
      </c>
      <c r="L43">
        <v>1.2</v>
      </c>
      <c r="M43">
        <f t="shared" si="0"/>
        <v>1.2</v>
      </c>
      <c r="N43">
        <f t="shared" si="1"/>
        <v>1.2</v>
      </c>
    </row>
    <row r="44" spans="1:14">
      <c r="A44" t="s">
        <v>94</v>
      </c>
      <c r="B44" s="1" t="s">
        <v>70</v>
      </c>
      <c r="C44">
        <v>7.3300000000000004E-2</v>
      </c>
      <c r="D44">
        <v>7.3300000000000004E-2</v>
      </c>
      <c r="E44">
        <v>7.3300000000000004E-2</v>
      </c>
      <c r="F44">
        <v>7.3300000000000004E-2</v>
      </c>
      <c r="G44">
        <v>7.3300000000000004E-2</v>
      </c>
      <c r="H44">
        <v>7.3300000000000004E-2</v>
      </c>
      <c r="I44">
        <v>7.3300000000000004E-2</v>
      </c>
      <c r="J44">
        <v>7.3300000000000004E-2</v>
      </c>
      <c r="K44">
        <v>7.3300000000000004E-2</v>
      </c>
      <c r="L44">
        <v>7.3300000000000004E-2</v>
      </c>
      <c r="M44">
        <f t="shared" si="0"/>
        <v>7.3300000000000004E-2</v>
      </c>
      <c r="N44">
        <f t="shared" si="1"/>
        <v>7.3300000000000004E-2</v>
      </c>
    </row>
    <row r="45" spans="1:14">
      <c r="A45" t="s">
        <v>71</v>
      </c>
      <c r="B45" s="1" t="s">
        <v>72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0"/>
        <v>0</v>
      </c>
      <c r="N45">
        <f t="shared" si="1"/>
        <v>0</v>
      </c>
    </row>
    <row r="46" spans="1:14">
      <c r="A46" t="s">
        <v>73</v>
      </c>
      <c r="B46" s="1" t="s">
        <v>74</v>
      </c>
      <c r="C46">
        <v>6000</v>
      </c>
      <c r="D46">
        <v>6000</v>
      </c>
      <c r="E46">
        <v>6000</v>
      </c>
      <c r="F46">
        <v>6000</v>
      </c>
      <c r="G46">
        <v>6000</v>
      </c>
      <c r="H46">
        <v>6000</v>
      </c>
      <c r="I46">
        <v>6000</v>
      </c>
      <c r="J46">
        <v>6000</v>
      </c>
      <c r="K46">
        <v>6000</v>
      </c>
      <c r="L46">
        <v>6000</v>
      </c>
      <c r="M46">
        <f t="shared" si="0"/>
        <v>6000</v>
      </c>
      <c r="N46">
        <f t="shared" si="1"/>
        <v>6000</v>
      </c>
    </row>
    <row r="47" spans="1:14">
      <c r="A47" t="s">
        <v>75</v>
      </c>
      <c r="B47" s="1" t="s">
        <v>66</v>
      </c>
      <c r="C47">
        <v>5.0000000000000001E-4</v>
      </c>
      <c r="D47">
        <v>5.0000000000000001E-4</v>
      </c>
      <c r="E47">
        <v>5.0000000000000001E-4</v>
      </c>
      <c r="F47">
        <v>5.0000000000000001E-4</v>
      </c>
      <c r="G47">
        <v>5.0000000000000001E-4</v>
      </c>
      <c r="H47">
        <v>5.0000000000000001E-4</v>
      </c>
      <c r="I47">
        <v>5.0000000000000001E-4</v>
      </c>
      <c r="J47">
        <v>5.0000000000000001E-4</v>
      </c>
      <c r="K47">
        <v>5.0000000000000001E-4</v>
      </c>
      <c r="L47">
        <v>5.0000000000000001E-4</v>
      </c>
      <c r="M47">
        <f t="shared" si="0"/>
        <v>5.0000000000000001E-4</v>
      </c>
      <c r="N47">
        <f t="shared" si="1"/>
        <v>5.0000000000000001E-4</v>
      </c>
    </row>
    <row r="48" spans="1:14">
      <c r="A48" t="s">
        <v>75</v>
      </c>
      <c r="B48" s="1" t="s">
        <v>67</v>
      </c>
      <c r="C48">
        <v>339</v>
      </c>
      <c r="D48">
        <v>339</v>
      </c>
      <c r="E48">
        <v>339</v>
      </c>
      <c r="F48">
        <v>339</v>
      </c>
      <c r="G48">
        <v>339</v>
      </c>
      <c r="H48">
        <v>339</v>
      </c>
      <c r="I48">
        <v>339</v>
      </c>
      <c r="J48">
        <v>339</v>
      </c>
      <c r="K48">
        <v>339</v>
      </c>
      <c r="L48">
        <v>339</v>
      </c>
      <c r="M48">
        <f t="shared" si="0"/>
        <v>339</v>
      </c>
      <c r="N48">
        <f t="shared" si="1"/>
        <v>339</v>
      </c>
    </row>
    <row r="49" spans="1:2">
      <c r="A49" t="s">
        <v>105</v>
      </c>
      <c r="B49" s="1" t="s">
        <v>104</v>
      </c>
    </row>
    <row r="50" spans="1:2">
      <c r="A50" t="s">
        <v>81</v>
      </c>
      <c r="B50" s="1" t="s">
        <v>107</v>
      </c>
    </row>
    <row r="51" spans="1:2">
      <c r="A51" t="s">
        <v>115</v>
      </c>
      <c r="B51" s="1" t="s">
        <v>109</v>
      </c>
    </row>
    <row r="52" spans="1:2">
      <c r="A52" t="s">
        <v>108</v>
      </c>
      <c r="B52" s="1" t="s">
        <v>110</v>
      </c>
    </row>
    <row r="53" spans="1:2">
      <c r="B53" s="1" t="s">
        <v>111</v>
      </c>
    </row>
    <row r="54" spans="1:2">
      <c r="B54" s="1" t="s">
        <v>112</v>
      </c>
    </row>
    <row r="55" spans="1:2">
      <c r="B55" s="1" t="s">
        <v>113</v>
      </c>
    </row>
    <row r="56" spans="1:2">
      <c r="B56" s="2" t="s">
        <v>114</v>
      </c>
    </row>
    <row r="57" spans="1:2">
      <c r="B57" s="1" t="s">
        <v>116</v>
      </c>
    </row>
    <row r="58" spans="1:2">
      <c r="A58" t="s">
        <v>120</v>
      </c>
      <c r="B58" s="1" t="s">
        <v>119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三輪　雄太</dc:creator>
  <cp:keywords/>
  <dc:description/>
  <cp:lastModifiedBy>三輪　雄太</cp:lastModifiedBy>
  <dcterms:created xsi:type="dcterms:W3CDTF">2021-12-02T07:56:52Z</dcterms:created>
  <dcterms:modified xsi:type="dcterms:W3CDTF">2023-02-17T09:13:21Z</dcterms:modified>
  <cp:category/>
</cp:coreProperties>
</file>